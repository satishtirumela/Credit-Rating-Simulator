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projects\Credit-Rating-Simulator\tests\fixtures\worked_examples\"/>
    </mc:Choice>
  </mc:AlternateContent>
  <xr:revisionPtr revIDLastSave="0" documentId="13_ncr:1_{B66EFDDA-A5AD-464B-8C05-BAA7B9C96E2E}" xr6:coauthVersionLast="47" xr6:coauthVersionMax="47" xr10:uidLastSave="{00000000-0000-0000-0000-000000000000}"/>
  <bookViews>
    <workbookView xWindow="-96" yWindow="-96" windowWidth="19392" windowHeight="10272" tabRatio="500" xr2:uid="{00000000-000D-0000-FFFF-FFFF00000000}"/>
  </bookViews>
  <sheets>
    <sheet name="Read Me" sheetId="1" r:id="rId1"/>
    <sheet name="Data Input" sheetId="2" r:id="rId2"/>
    <sheet name="B - Cashflow" sheetId="3" r:id="rId3"/>
    <sheet name="C - Financial" sheetId="4" r:id="rId4"/>
    <sheet name="Validation" sheetId="5" r:id="rId5"/>
  </sheets>
  <definedNames>
    <definedName name="CFADS_NCA_Series">'Data Input'!$H$16:$H$45</definedName>
    <definedName name="Debt_Build">'Data Input'!$A$94:$C$101</definedName>
    <definedName name="DSCR_Schedule">'Data Input'!$A$16:$D$45</definedName>
    <definedName name="Liquidity_Block">'Data Input'!$B$124:$B$128</definedName>
    <definedName name="P90_Block">'Data Input'!$B$54:$B$57</definedName>
    <definedName name="PLCR_LLCR_Inputs">'Data Input'!$B$68:$B$74</definedName>
    <definedName name="Project_CFO">'Data Input'!$B$118</definedName>
    <definedName name="Sheet_Parameters">'Data Input'!$B$5:$B$8</definedName>
    <definedName name="TNW_Build">'Data Input'!$B$106:$B$113</definedName>
  </definedNames>
  <calcPr calcId="191029" iterateDelta="1E-4"/>
</workbook>
</file>

<file path=xl/calcChain.xml><?xml version="1.0" encoding="utf-8"?>
<calcChain xmlns="http://schemas.openxmlformats.org/spreadsheetml/2006/main">
  <c r="C19" i="5" l="1"/>
  <c r="B42" i="4"/>
  <c r="B41" i="4"/>
  <c r="B40" i="4"/>
  <c r="C12" i="5" s="1"/>
  <c r="B39" i="4"/>
  <c r="B38" i="4"/>
  <c r="C11" i="5" s="1"/>
  <c r="B31" i="4"/>
  <c r="B27" i="4"/>
  <c r="B26" i="4"/>
  <c r="B25" i="4"/>
  <c r="B24" i="4"/>
  <c r="B22" i="4"/>
  <c r="B21" i="4"/>
  <c r="B20" i="4"/>
  <c r="B17" i="4"/>
  <c r="B23" i="4" s="1"/>
  <c r="C15" i="4"/>
  <c r="B15" i="4"/>
  <c r="C14" i="4"/>
  <c r="B14" i="4"/>
  <c r="C13" i="4"/>
  <c r="B13" i="4"/>
  <c r="C12" i="4"/>
  <c r="B12" i="4"/>
  <c r="C11" i="4"/>
  <c r="B11" i="4"/>
  <c r="C10" i="4"/>
  <c r="B10" i="4"/>
  <c r="C9" i="4"/>
  <c r="B9" i="4"/>
  <c r="C8" i="4"/>
  <c r="B8" i="4"/>
  <c r="B16" i="4" s="1"/>
  <c r="B32" i="4" s="1"/>
  <c r="B52" i="4" s="1"/>
  <c r="B75" i="3"/>
  <c r="B74" i="3"/>
  <c r="B73" i="3"/>
  <c r="B72" i="3"/>
  <c r="B71" i="3"/>
  <c r="B69" i="3"/>
  <c r="B68" i="3"/>
  <c r="C63" i="3"/>
  <c r="C10" i="5" s="1"/>
  <c r="B56" i="3"/>
  <c r="B55" i="3"/>
  <c r="B54" i="3"/>
  <c r="B53" i="3"/>
  <c r="E44" i="3"/>
  <c r="F44" i="3" s="1"/>
  <c r="D44" i="3"/>
  <c r="C44" i="3"/>
  <c r="B44" i="3"/>
  <c r="E43" i="3"/>
  <c r="F43" i="3" s="1"/>
  <c r="D43" i="3"/>
  <c r="C43" i="3"/>
  <c r="B43" i="3"/>
  <c r="E42" i="3"/>
  <c r="F42" i="3" s="1"/>
  <c r="D42" i="3"/>
  <c r="C42" i="3"/>
  <c r="B42" i="3"/>
  <c r="D41" i="3"/>
  <c r="E41" i="3" s="1"/>
  <c r="F41" i="3" s="1"/>
  <c r="C41" i="3"/>
  <c r="B41" i="3"/>
  <c r="D40" i="3"/>
  <c r="C40" i="3"/>
  <c r="E40" i="3" s="1"/>
  <c r="F40" i="3" s="1"/>
  <c r="B40" i="3"/>
  <c r="D39" i="3"/>
  <c r="C39" i="3"/>
  <c r="E39" i="3" s="1"/>
  <c r="F39" i="3" s="1"/>
  <c r="B39" i="3"/>
  <c r="D38" i="3"/>
  <c r="C38" i="3"/>
  <c r="E38" i="3" s="1"/>
  <c r="F38" i="3" s="1"/>
  <c r="B38" i="3"/>
  <c r="D37" i="3"/>
  <c r="C37" i="3"/>
  <c r="E37" i="3" s="1"/>
  <c r="F37" i="3" s="1"/>
  <c r="B37" i="3"/>
  <c r="E36" i="3"/>
  <c r="F36" i="3" s="1"/>
  <c r="D36" i="3"/>
  <c r="C36" i="3"/>
  <c r="B36" i="3"/>
  <c r="E35" i="3"/>
  <c r="F35" i="3" s="1"/>
  <c r="D35" i="3"/>
  <c r="C35" i="3"/>
  <c r="B35" i="3"/>
  <c r="E34" i="3"/>
  <c r="F34" i="3" s="1"/>
  <c r="D34" i="3"/>
  <c r="C34" i="3"/>
  <c r="B34" i="3"/>
  <c r="D33" i="3"/>
  <c r="E33" i="3" s="1"/>
  <c r="F33" i="3" s="1"/>
  <c r="C33" i="3"/>
  <c r="B33" i="3"/>
  <c r="D32" i="3"/>
  <c r="C32" i="3"/>
  <c r="E32" i="3" s="1"/>
  <c r="F32" i="3" s="1"/>
  <c r="B32" i="3"/>
  <c r="D31" i="3"/>
  <c r="C31" i="3"/>
  <c r="E31" i="3" s="1"/>
  <c r="F31" i="3" s="1"/>
  <c r="B31" i="3"/>
  <c r="D30" i="3"/>
  <c r="C30" i="3"/>
  <c r="E30" i="3" s="1"/>
  <c r="F30" i="3" s="1"/>
  <c r="B30" i="3"/>
  <c r="D29" i="3"/>
  <c r="C29" i="3"/>
  <c r="E29" i="3" s="1"/>
  <c r="F29" i="3" s="1"/>
  <c r="B29" i="3"/>
  <c r="E28" i="3"/>
  <c r="F28" i="3" s="1"/>
  <c r="D28" i="3"/>
  <c r="C28" i="3"/>
  <c r="B28" i="3"/>
  <c r="E27" i="3"/>
  <c r="F27" i="3" s="1"/>
  <c r="D27" i="3"/>
  <c r="C27" i="3"/>
  <c r="B27" i="3"/>
  <c r="E26" i="3"/>
  <c r="F26" i="3" s="1"/>
  <c r="D26" i="3"/>
  <c r="C26" i="3"/>
  <c r="B26" i="3"/>
  <c r="D25" i="3"/>
  <c r="E25" i="3" s="1"/>
  <c r="F25" i="3" s="1"/>
  <c r="C25" i="3"/>
  <c r="B25" i="3"/>
  <c r="D24" i="3"/>
  <c r="C24" i="3"/>
  <c r="E24" i="3" s="1"/>
  <c r="F24" i="3" s="1"/>
  <c r="B24" i="3"/>
  <c r="D23" i="3"/>
  <c r="C23" i="3"/>
  <c r="E23" i="3" s="1"/>
  <c r="F23" i="3" s="1"/>
  <c r="B23" i="3"/>
  <c r="D22" i="3"/>
  <c r="C22" i="3"/>
  <c r="E22" i="3" s="1"/>
  <c r="F22" i="3" s="1"/>
  <c r="B22" i="3"/>
  <c r="D21" i="3"/>
  <c r="C21" i="3"/>
  <c r="E21" i="3" s="1"/>
  <c r="F21" i="3" s="1"/>
  <c r="B21" i="3"/>
  <c r="E20" i="3"/>
  <c r="F20" i="3" s="1"/>
  <c r="D20" i="3"/>
  <c r="C20" i="3"/>
  <c r="B20" i="3"/>
  <c r="E19" i="3"/>
  <c r="F19" i="3" s="1"/>
  <c r="D19" i="3"/>
  <c r="C19" i="3"/>
  <c r="B19" i="3"/>
  <c r="E18" i="3"/>
  <c r="F18" i="3" s="1"/>
  <c r="D18" i="3"/>
  <c r="C18" i="3"/>
  <c r="B18" i="3"/>
  <c r="D17" i="3"/>
  <c r="E17" i="3" s="1"/>
  <c r="F17" i="3" s="1"/>
  <c r="C17" i="3"/>
  <c r="B17" i="3"/>
  <c r="D16" i="3"/>
  <c r="C16" i="3"/>
  <c r="E16" i="3" s="1"/>
  <c r="F16" i="3" s="1"/>
  <c r="B16" i="3"/>
  <c r="B63" i="3" s="1"/>
  <c r="D15" i="3"/>
  <c r="C15" i="3"/>
  <c r="E15" i="3" s="1"/>
  <c r="F15" i="3" s="1"/>
  <c r="B15" i="3"/>
  <c r="B10" i="3"/>
  <c r="G84" i="3" s="1"/>
  <c r="B8" i="3"/>
  <c r="B7" i="3"/>
  <c r="B9" i="3" s="1"/>
  <c r="B6" i="3"/>
  <c r="B5" i="3"/>
  <c r="B146" i="2"/>
  <c r="B145" i="2"/>
  <c r="B131" i="2"/>
  <c r="B133" i="2" s="1"/>
  <c r="H140" i="2" s="1"/>
  <c r="B130" i="2"/>
  <c r="B129" i="2"/>
  <c r="B114" i="2"/>
  <c r="B115" i="2" s="1"/>
  <c r="B150" i="2" s="1"/>
  <c r="B103" i="2"/>
  <c r="B102" i="2"/>
  <c r="B34" i="5" s="1"/>
  <c r="G84" i="2"/>
  <c r="G83" i="2"/>
  <c r="B76" i="2"/>
  <c r="B78" i="2" s="1"/>
  <c r="B86" i="2" s="1"/>
  <c r="B65" i="2"/>
  <c r="B64" i="3" s="1"/>
  <c r="C64" i="2"/>
  <c r="B64" i="2"/>
  <c r="B58" i="2"/>
  <c r="B30" i="5" s="1"/>
  <c r="I45" i="2"/>
  <c r="E45" i="2"/>
  <c r="F45" i="2" s="1"/>
  <c r="I44" i="2"/>
  <c r="F44" i="2"/>
  <c r="E44" i="2"/>
  <c r="I43" i="2"/>
  <c r="F43" i="2"/>
  <c r="E43" i="2"/>
  <c r="I42" i="2"/>
  <c r="E42" i="2"/>
  <c r="F42" i="2" s="1"/>
  <c r="I41" i="2"/>
  <c r="E41" i="2"/>
  <c r="F41" i="2" s="1"/>
  <c r="I40" i="2"/>
  <c r="F40" i="2"/>
  <c r="E40" i="2"/>
  <c r="I39" i="2"/>
  <c r="E39" i="2"/>
  <c r="F39" i="2" s="1"/>
  <c r="I38" i="2"/>
  <c r="E38" i="2"/>
  <c r="F38" i="2" s="1"/>
  <c r="I37" i="2"/>
  <c r="E37" i="2"/>
  <c r="F37" i="2" s="1"/>
  <c r="I36" i="2"/>
  <c r="F36" i="2"/>
  <c r="E36" i="2"/>
  <c r="I35" i="2"/>
  <c r="F35" i="2"/>
  <c r="E35" i="2"/>
  <c r="I34" i="2"/>
  <c r="E34" i="2"/>
  <c r="F34" i="2" s="1"/>
  <c r="I33" i="2"/>
  <c r="E33" i="2"/>
  <c r="F33" i="2" s="1"/>
  <c r="I32" i="2"/>
  <c r="F32" i="2"/>
  <c r="E32" i="2"/>
  <c r="I31" i="2"/>
  <c r="E31" i="2"/>
  <c r="F31" i="2" s="1"/>
  <c r="I30" i="2"/>
  <c r="E30" i="2"/>
  <c r="F30" i="2" s="1"/>
  <c r="I29" i="2"/>
  <c r="E29" i="2"/>
  <c r="F29" i="2" s="1"/>
  <c r="I28" i="2"/>
  <c r="F28" i="2"/>
  <c r="E28" i="2"/>
  <c r="I27" i="2"/>
  <c r="F27" i="2"/>
  <c r="E27" i="2"/>
  <c r="I26" i="2"/>
  <c r="E26" i="2"/>
  <c r="F26" i="2" s="1"/>
  <c r="I25" i="2"/>
  <c r="E25" i="2"/>
  <c r="F25" i="2" s="1"/>
  <c r="I24" i="2"/>
  <c r="F24" i="2"/>
  <c r="E24" i="2"/>
  <c r="I23" i="2"/>
  <c r="E23" i="2"/>
  <c r="F23" i="2" s="1"/>
  <c r="I22" i="2"/>
  <c r="E22" i="2"/>
  <c r="F22" i="2" s="1"/>
  <c r="I21" i="2"/>
  <c r="E21" i="2"/>
  <c r="F21" i="2" s="1"/>
  <c r="I20" i="2"/>
  <c r="F20" i="2"/>
  <c r="E20" i="2"/>
  <c r="I19" i="2"/>
  <c r="F19" i="2"/>
  <c r="E19" i="2"/>
  <c r="I18" i="2"/>
  <c r="E18" i="2"/>
  <c r="F18" i="2" s="1"/>
  <c r="I17" i="2"/>
  <c r="E17" i="2"/>
  <c r="F17" i="2" s="1"/>
  <c r="I16" i="2"/>
  <c r="D64" i="2" s="1"/>
  <c r="D63" i="3" s="1"/>
  <c r="F16" i="2"/>
  <c r="E16" i="2"/>
  <c r="B10" i="2"/>
  <c r="B9" i="2"/>
  <c r="F84" i="2" s="1"/>
  <c r="B48" i="3" l="1"/>
  <c r="B85" i="3" s="1"/>
  <c r="B49" i="3"/>
  <c r="B47" i="3"/>
  <c r="B50" i="2"/>
  <c r="G85" i="3"/>
  <c r="F85" i="3"/>
  <c r="F84" i="3"/>
  <c r="E85" i="3"/>
  <c r="E84" i="3"/>
  <c r="D85" i="3"/>
  <c r="D84" i="3"/>
  <c r="C85" i="3"/>
  <c r="C84" i="3"/>
  <c r="H52" i="4"/>
  <c r="G52" i="4"/>
  <c r="B49" i="2"/>
  <c r="B84" i="2" s="1"/>
  <c r="B48" i="2"/>
  <c r="A35" i="4"/>
  <c r="H86" i="2"/>
  <c r="I86" i="2"/>
  <c r="B120" i="2"/>
  <c r="B139" i="2" s="1"/>
  <c r="B77" i="2"/>
  <c r="B85" i="2" s="1"/>
  <c r="B57" i="3"/>
  <c r="B28" i="4"/>
  <c r="C15" i="5"/>
  <c r="B132" i="2"/>
  <c r="G140" i="2" s="1"/>
  <c r="B140" i="2"/>
  <c r="B149" i="2"/>
  <c r="B43" i="4"/>
  <c r="B45" i="4" s="1"/>
  <c r="D83" i="2"/>
  <c r="D84" i="2"/>
  <c r="B33" i="4"/>
  <c r="B53" i="4" s="1"/>
  <c r="B44" i="4"/>
  <c r="B70" i="3" s="1"/>
  <c r="B78" i="3" s="1"/>
  <c r="B87" i="3" s="1"/>
  <c r="C83" i="2"/>
  <c r="C84" i="2"/>
  <c r="E83" i="2"/>
  <c r="E84" i="2"/>
  <c r="B77" i="3"/>
  <c r="B31" i="5"/>
  <c r="F83" i="2"/>
  <c r="B119" i="2"/>
  <c r="B138" i="2" s="1"/>
  <c r="B47" i="4" l="1"/>
  <c r="H54" i="4" s="1"/>
  <c r="B54" i="4"/>
  <c r="B46" i="4"/>
  <c r="G54" i="4" s="1"/>
  <c r="I87" i="3"/>
  <c r="H87" i="3"/>
  <c r="H139" i="2"/>
  <c r="G139" i="2"/>
  <c r="H85" i="2"/>
  <c r="I85" i="2"/>
  <c r="B33" i="5"/>
  <c r="B148" i="2"/>
  <c r="C13" i="5"/>
  <c r="A91" i="3"/>
  <c r="C7" i="5"/>
  <c r="B84" i="3"/>
  <c r="C8" i="5"/>
  <c r="B86" i="3"/>
  <c r="H53" i="4"/>
  <c r="B55" i="4" s="1"/>
  <c r="G53" i="4"/>
  <c r="B83" i="2"/>
  <c r="B88" i="2"/>
  <c r="G138" i="2"/>
  <c r="H138" i="2"/>
  <c r="I84" i="2"/>
  <c r="H84" i="2"/>
  <c r="I85" i="3"/>
  <c r="H85" i="3"/>
  <c r="I84" i="3" l="1"/>
  <c r="H84" i="3"/>
  <c r="I86" i="3"/>
  <c r="H86" i="3"/>
  <c r="B32" i="5"/>
  <c r="B147" i="2"/>
  <c r="I83" i="2"/>
  <c r="B87" i="2" s="1"/>
  <c r="H83" i="2"/>
  <c r="B141" i="2"/>
  <c r="B88" i="3" l="1"/>
  <c r="C25" i="5" s="1"/>
  <c r="C14" i="5"/>
</calcChain>
</file>

<file path=xl/sharedStrings.xml><?xml version="1.0" encoding="utf-8"?>
<sst xmlns="http://schemas.openxmlformats.org/spreadsheetml/2006/main" count="461" uniqueCount="330">
  <si>
    <t>CREDIT RATING SIMULATOR — KEY INPUT TEMPLATE 2  |  WORKED REFERENCE COPY: TP-2 MID WIND  |  v3.0</t>
  </si>
  <si>
    <t>Blocks B (Cash-flow Adequacy) and C (Financial Strength) — Core Rating Criteria v2.0</t>
  </si>
  <si>
    <t>Version 3.0 — 30 July 2026. Supersedes v2.0 and v1.0. Governing document: Core Rating Criteria v3.0, Sections 10.2, 14 (Appendix A — enumerations) and 15 (Appendix B — field dictionary). Companion: Key Input Template 1 v3.0 (Blocks A and D, and notching inputs).</t>
  </si>
  <si>
    <t>Purpose</t>
  </si>
  <si>
    <t>This workbook captures only the Key Outputs the Python scoring engine needs from the project's full financial model — it is not the model itself. Keep the full working model separately. THE EXTRACTION PIPELINE READS THE "DATA INPUT" SHEET, addressed through the named ranges listed at step 2; sheet names, row labels and named ranges must not be changed. v2.0 described the extraction contract against the legacy B - Cashflow and C - Financial layout while a v3.0-era Data Input sheet had already replaced it as the entry surface, and the workbook simultaneously called itself v2.0 and v3.0 (QA finding M16).</t>
  </si>
  <si>
    <t>Legend</t>
  </si>
  <si>
    <t>Yellow cells = enter a value here (hardcoded input from your financial model).</t>
  </si>
  <si>
    <t>Blue-shaded cells = calculated automatically by formula; do not overtype.</t>
  </si>
  <si>
    <t>Blue text = a number you typed in; black text = a formula; green text = a link to another sheet in this workbook.</t>
  </si>
  <si>
    <t>How to use</t>
  </si>
  <si>
    <t>1. Complete every yellow cell on the 'Data Input' sheet — this single sheet replaces the former 'B - Cashflow' and 'C - Financial' data-entry sheets. The legacy sheets are still present and feed the Validation sheet and the scoring engine, but they now pull their values from 'Data Input' automatically.</t>
  </si>
  <si>
    <t>2. The DSCR schedule on 'B - Cashflow' now runs to 30 debt years (rows 9 to 38) and every dependent formula reads the whole block, so a longer tenor needs no formula change — just fill the additional rows. In v1.0 the MIN and AVERAGE formulas were hard-ranged to rows 9 to 23 while this Read Me told users to extend the schedule for longer tenors, so any added row was silently excluded from both ratios. That is fixed.</t>
  </si>
  <si>
    <t>3. Select the technology type in cell B7 of 'B - Cashflow'. Core Rating Criteria v2.0 applies technology-specific DSCR threshold sets (Set W for wind, Set S for solar, Set H for hybrid, per CORE Section 4.0), so the Score Preview tiers change with this selection. v1.0 applied a single wind-calibrated set to all technologies.</t>
  </si>
  <si>
    <t>4. Enter merchant exposure in cell B8 of 'B - Cashflow'. Where it exceeds 25%, CORE Section 4.0 adds 0.20x to every DSCR threshold in the selected set, and the Score Preview applies that shift automatically.</t>
  </si>
  <si>
    <t>2. The DSCR schedule runs to 30 debt years. On the Data Input sheet it occupies rows 16 to 45; on the legacy B - Cashflow sheet, rows 15 to 44. Every dependent formula reads the whole block, so a longer tenor needs no formula change — just fill the additional rows. Named ranges (DSCR_Schedule, P90_Block, Debt_Build, TNW_Build, Liquidity_Block) point at these ranges so that inserting a row cannot silently break the extraction pipeline. v2.0 of this Read Me cited "rows 9 to 38" and "rows 40 to 44", both of which were stale after the Data Input sheet was inserted (QA finding m2).</t>
  </si>
  <si>
    <t>3. Select the technology type in cell B7 of Data Input. It is displayed read-only; TEMPLATE 1 SECTION A.1 IS THE SOURCE OF TRUTH and CORE V13 blocks a mismatch between the two templates.</t>
  </si>
  <si>
    <t>4. Merchant exposure is DERIVED, not entered. The engine computes it as 1 - contracted_revenue_share from Template 1 Section A.2. Where it exceeds 0.2500, CORE Section 4.0 adds 0.20x to every DSCR TIER threshold. The coverage floor at 1.00x is absolute and is never shifted.</t>
  </si>
  <si>
    <t>5. Complete the P90 attestation block at rows 54 to 58 of Data Input. CORE v3.0 Section 9.5 requires ATTESTATION — the derivation route is withdrawn. All four fields (PLF, basis, resource study, preparer) are critical inputs; a blank in any one returns "Insufficient Input — Not Rated".</t>
  </si>
  <si>
    <t>What changed in v2.0</t>
  </si>
  <si>
    <t>BL-2 — Tier cascades were already written as &gt;= thresholds in v1.0, which was the sensible reading but was undocumented and was the workbook's reading rather than the criteria document's. CORE v2.0 Section 9.6 now states the convention and the evaluation precision, and this workbook matches it.</t>
  </si>
  <si>
    <t>BL-4 — The DSRA is now correctly described. v1.0 fed one DSRA balance into both the liquidity factor and the PLCR/LLCR numerators while the sheet note claimed the reserve was "counted once only, consistent with the non-double-counting rule". Sourcing a value from one cell is not counting it once. CORE v2.0 Section 9.7 permits the DSRA in the PLCR and LLCR numerators as a stated exception and narrows the prohibition to CFADS and DSCR, so the mechanic is unchanged but the note is now accurate.</t>
  </si>
  <si>
    <t>BL-9 — Technology-specific DSCR threshold sets added (see step 3).</t>
  </si>
  <si>
    <t>MAJ-1, MAJ-2 — Gearing is labelled Total Debt / Tangible Net Worth, matching the single governing definition at CORE Section 9.3. Debt and net worth are now built up instrument by instrument, with an explicit equity-treatment classification for subordinated sponsor loans and compulsorily convertible debentures.</t>
  </si>
  <si>
    <t>MAJ-3 — A CFADS reconciliation block checks the direct build against the net-cash-accrual build within the 2% tolerance at CORE Section 9.1.</t>
  </si>
  <si>
    <t>MAJ-5 — P90 attestation block added (see step 5).</t>
  </si>
  <si>
    <t>MAJ-6 — A "Validation" sheet implements the twelve internal-consistency rules at CORE Section 10.1, each showing Pass, Warn or BLOCK.</t>
  </si>
  <si>
    <t>MAJ-16 — Partial encumbrance of the DSRA is handled as CORE Section 5.3 intends: enter the total reserve and the encumbered portion, and the unencumbered remainder is scored. v1.0 zeroed the entire 7-point factor unless a single Yes/No cell said "Yes", so a project with twelve months of cover, one month of which was pledged, scored 7 under the criteria wording and 0 under the workbook.</t>
  </si>
  <si>
    <t>MAJ-24 — The Sample sheet has been rebuilt so its figures reproduce from its own inputs. In v1.0 the sheet stated a DSRA balance and a months-of-cover figure that implied different amounts, and a PLCR that did not follow from its own numerator and denominator, so it could not serve as a validation baseline.</t>
  </si>
  <si>
    <t>MIN-2 — Cross-references corrected. v1.0 cited "Core Rating Criteria Section 9.4 (liquidity non-double-counting rule)" twice; in v1.0 that rule was Section 9.5 and 9.4 was the P90 Generation Basis. In v2.0 the rule is Section 9.7 (see the renumbering map at CORE Section 13.4).</t>
  </si>
  <si>
    <t>MIN-7 — Both the PLCR and the LLCR denominators now read "principal outstanding on rated debt plus pari passu and senior debt", matching CORE Section 9.2. v1.0 stated the addition for PLCR only, though this workbook already assumed it for both.</t>
  </si>
  <si>
    <t>MIN-10 (in scope element) — The hard-ranged MIN and AVERAGE formulas are fixed (see step 2). The remaining elements of that finding concern the reference corpus rather than this workbook and are out of scope.</t>
  </si>
  <si>
    <t>What changed in v3.0 — Usability Redesign</t>
  </si>
  <si>
    <t>A new 'Data Input' sheet merges the former 'B - Cashflow' and 'C - Financial' input sheets into a single top-to-bottom data-entry form, divided into labelled sections:
  A  Sheet Parameters (currency, date, technology type, merchant exposure)
  B  Block B: Cash-flow Adequacy (DSCR schedule, P90 attestation, CFADS reconciliation, PLCR/LLCR inputs, Score Preview)
  C  Block C: Financial Strength (debt build, TNW build, CFO/leverage, liquidity, Score Preview)
  D  Validation Status Summary (quick status view; full detail remains on the Validation sheet)
The 'B - Cashflow' and 'C - Financial' sheets are retained and continue to feed the Validation sheet and the Python scoring engine. They now pull their input values from 'Data Input', so entering data once is sufficient. Do not enter data directly into 'B - Cashflow' or 'C - Financial' — use 'Data Input' instead.
All functionality, formulas, validation rules, scoring logic and CORE v2.0 alignment are preserved unchanged.</t>
  </si>
  <si>
    <t>SHEET PROTECTION — NO PASSWORD. Calculated cells are locked so they cannot be overtyped by accident. There is NO password: to remove protection, use Review &gt; Unprotect Sheet on any sheet. Only the yellow cells on "Data Input" accept entry. If a cell you expect to type in will not accept a value, check it is yellow and on the Data Input sheet before unprotecting.</t>
  </si>
  <si>
    <t>Post-issue correction, 30 July 2026, within v3.0. On first issue, 167 cells across the two legacy sheets and the Test Projects sheet were coloured as input cells although they are formulas or read-only outputs, so the workbook appeared to invite entry into cells that sheet protection correctly refused. A first attempt to fix this inserted banner rows into the legacy sheets, which silently broke every intra-sheet formula on them by one row — openpyxl moves cell values on an insert but does not rewrite formula references, so cell F16 of B - Cashflow divided by a text header and returned #VALUE!. The banners are now written into pre-existing empty rows and no row is inserted anywhere. Verified: zero formula drift against the pre-correction baseline. NO criteria rule, formula, input field, named range or test-project value changed, so the version remains 3.0.</t>
  </si>
  <si>
    <t>REFERENCE AND TEST SHEETS MOVED OUT, v3.0. The "Test Projects", "Test Project Inputs" and "Sample (Reference Only)" sheets are no longer part of this workbook. They now live in "Credit_Rating_Simulator_Test_Fixtures_v3_0.xlsx". This workbook is a BLANK WORKING TEMPLATE and contains no illustrative or fixture figures of any kind, so no number in it can be mistaken for a number about the project being assessed. The fixtures still exist as a named, versioned artefact, so QA findings B3 and M15 remain closed: the acceptance-test input sets travel with the test workbook rather than with the form a preparer fills in.</t>
  </si>
  <si>
    <t>WORKED REFERENCE COPY — TP-2 MID WIND. This is NOT a blank template. Every figure is invented and belongs to reference project TP-2 in Credit Rating Simulator Test Fixtures v3.0. It exists so the application can be validated end to end: upload this workbook and the matching completed Key Input Template 1, run the assessment, and check the result against the TP-2 column of the "Test Projects" sheet — raw 84.5, one notch for an Adequate DISCOM offtaker, post-notching 77.5, band BB, no cap, d = 0.5, confidence Moderate. DO NOT USE IT FOR A LIVE ASSESSMENT and do not place it in the same searchable knowledge base as one. Sheet protection is deliberately OFF here so every derived cell can be inspected.</t>
  </si>
  <si>
    <t>CREDIT RATING SIMULATOR — DATA INPUT (Blocks B &amp; C)  |  Version 3.0 — 30 July 2026</t>
  </si>
  <si>
    <t>Yellow cells = enter a value.   Blue cells = calculated automatically — locked, do not overtype.   ALL PERCENTAGES ARE DECIMAL FRACTIONS: enter 0.9700 for 97%, never 97 (CORE Section 9.6). All figures in the currency/unit stated in row 5.  Field names in braces are CORE Appendix B names.  THIS IS THE ONLY DATA-ENTRY SHEET.</t>
  </si>
  <si>
    <t>A — SHEET PARAMETERS</t>
  </si>
  <si>
    <t>Currency / unit used throughout this workbook</t>
  </si>
  <si>
    <t>INR Lakh</t>
  </si>
  <si>
    <t>Calculation date (DD-MM-YYYY)</t>
  </si>
  <si>
    <t>2026-07-30</t>
  </si>
  <si>
    <t>Technology type  ▸  enter exactly:  Wind  /  Solar PV  /  Solar + Wind Hybrid</t>
  </si>
  <si>
    <t>Wind</t>
  </si>
  <si>
    <t>Merchant exposure   &gt; DERIVED, not entered. The engine computes 1 - contracted_revenue_share from Template 1 Section A.2 (CORE V13). Shown here read-only for the Score Preview.</t>
  </si>
  <si>
    <t>Threshold set applied (CORE Section 4.0)  ◀ auto</t>
  </si>
  <si>
    <t>Merchant adjustment to all DSCR thresholds (CORE Section 4.0)  ◀ auto</t>
  </si>
  <si>
    <t>Where derived merchant exposure exceeds 0.2500, CORE Section 4.0 adds 0.20x to every DSCR TIER threshold in the selected set. The Score Preview applies that shift automatically. The COVERAGE FLOOR at 1.00x is absolute and is NEVER shifted (CORE Section 4.1, QA finding M1).</t>
  </si>
  <si>
    <t>B — BLOCK B: CASH-FLOW ADEQUACY  (CORE Section 4.0–4.4, 9.1–9.2, 9.5)  |  Max 35 points</t>
  </si>
  <si>
    <t>B1.  DSCR Schedule — P90 basis  (30 debt years; fill only the years that apply)</t>
  </si>
  <si>
    <t>Debt Year</t>
  </si>
  <si>
    <t>CFADS</t>
  </si>
  <si>
    <t>Interest</t>
  </si>
  <si>
    <t>Principal Repayment</t>
  </si>
  <si>
    <t>Debt Service (Int+Prin)</t>
  </si>
  <si>
    <t>DSCR</t>
  </si>
  <si>
    <t>Per-period variance (V6)</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</si>
  <si>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</si>
  <si>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</si>
  <si>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</si>
  <si>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</si>
  <si>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</si>
  <si>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</si>
  <si>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</si>
  <si>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</si>
  <si>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</si>
  <si>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</si>
  <si>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</si>
  <si>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</si>
  <si>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</si>
  <si>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</si>
  <si>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</si>
  <si>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</si>
  <si>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</si>
  <si>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</si>
  <si>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</si>
  <si>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</si>
  <si>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</si>
  <si>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</si>
  <si>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</si>
  <si>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</si>
  <si>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</si>
  <si>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Year 26</t>
  </si>
  <si>
    <t>Year 27</t>
  </si>
  <si>
    <t>Year 28</t>
  </si>
  <si>
    <t>Year 29</t>
  </si>
  <si>
    <t>Year 30</t>
  </si>
  <si>
    <t>B2.  Derived Coverage Ratios  ◀ calculated automatically</t>
  </si>
  <si>
    <t>Minimum DSCR (P90 basis)</t>
  </si>
  <si>
    <t>Average DSCR (P90 basis) — arithmetic mean of annual DSCRs, per CORE Section 4.2</t>
  </si>
  <si>
    <t>Debt years populated</t>
  </si>
  <si>
    <t>Both formulas read the full 30-year block — extending the schedule needs no formula change. In v1.0 they were hard-ranged to the first 15 years, so any added year was silently excluded from both ratios.</t>
  </si>
  <si>
    <t>B3.  P90 Attestation — mandatory before Block B can be scored (CORE Section 9.5)</t>
  </si>
  <si>
    <t>[CRITICAL]  P90 annual PLF / generation estimate  {p90_plf}   &gt;  decimal fraction (0.2800 for 28%)</t>
  </si>
  <si>
    <t>[CRITICAL]  Basis of the CFADS schedule  &gt;  the only permitted value is:  Attested as P90</t>
  </si>
  <si>
    <t>Attested as P90</t>
  </si>
  <si>
    <t>[CRITICAL]  Resource study relied on (consultant and report date)  {p90_resource_study}</t>
  </si>
  <si>
    <t>Vortex P90 wind resource assessment, 05-02-2026</t>
  </si>
  <si>
    <t>[CRITICAL]  Preparer name and date of attestation  {p90_preparer}</t>
  </si>
  <si>
    <t>S. Tirumela, 30-07-2026</t>
  </si>
  <si>
    <t>P90 attestation status  ◀ auto</t>
  </si>
  <si>
    <t>CORE v3.0 Section 9.5: attestation is the ONLY route. The v2.0 derivation route claimed CFADS was "derived within Template 2 from the entered P90 PLF, so the basis is arithmetically enforced" — no formula ever did that, and the v2.0 status cell returned "Satisfied" for any string other than blank or the attestation value. All four fields below are now critical inputs: a blank in any one returns "Insufficient Input — Not Rated".</t>
  </si>
  <si>
    <t>B4.  CFADS Reconciliation — direct build vs net-cash-accrual build (CORE Section 9.1)  [Optional]</t>
  </si>
  <si>
    <t>Complete only if your model produces CFADS by the net-cash-accrual route. Enter that series in column H beside the DSCR schedule above; column I computes the variance FOR EACH PERIOD. CORE V6 requires agreement within 2% IN EVERY PERIOD. v2.0 compared schedule totals only, which passes while individual periods diverge without limit in offsetting directions (QA finding M9).</t>
  </si>
  <si>
    <t>Item</t>
  </si>
  <si>
    <t>Direct build (CORE Section 9.1)</t>
  </si>
  <si>
    <t>Net-cash-accrual build</t>
  </si>
  <si>
    <t>Variance</t>
  </si>
  <si>
    <t>Per-period variance</t>
  </si>
  <si>
    <t>Total CFADS over the schedule  |  D64 = WORST per-period variance</t>
  </si>
  <si>
    <t>Reconciliation status  ◀ auto</t>
  </si>
  <si>
    <t>B5.  PLCR and LLCR Inputs</t>
  </si>
  <si>
    <t>NPV of CFADS over remaining project life</t>
  </si>
  <si>
    <t>NPV of CFADS over remaining loan life</t>
  </si>
  <si>
    <t>Discount rate used for both NPVs  {discount_rate}   &gt; decimal fraction (0.0975 for 9.75%). Effective contracted rate on the rated debt (CORE Section 9.4)</t>
  </si>
  <si>
    <t>Rate as-of date</t>
  </si>
  <si>
    <t>2026-06-30</t>
  </si>
  <si>
    <t>Remaining project life (years)</t>
  </si>
  <si>
    <t>Remaining loan life to final maturity (years)</t>
  </si>
  <si>
    <t>Principal outstanding on rated debt + pari passu and senior debt, at calculation date</t>
  </si>
  <si>
    <t>Unencumbered DSRA + other available cash is pulled automatically from the Financial section below (row 108) — it does not need to be entered twice.</t>
  </si>
  <si>
    <t>Unencumbered DSRA + other unencumbered cash  ◀ from Financial section below</t>
  </si>
  <si>
    <t>PLCR  ◀ auto</t>
  </si>
  <si>
    <t>LLCR  ◀ auto</t>
  </si>
  <si>
    <t>Both denominators include principal outstanding on the rated debt plus equally- and more-senior debt (CORE Section 9.2). The DSRA in row 76 is also scored in the Liquidity factor below — CORE Section 9.7 permits this as a stated exception: PLCR and LLCR are stock-vs-stock measures, while DSCR is a flow measure.</t>
  </si>
  <si>
    <t>B6.  Score Preview — hand-check aid only  (mirrors CORE Section 4, does not feed the engine)</t>
  </si>
  <si>
    <t>Metric</t>
  </si>
  <si>
    <t>Value</t>
  </si>
  <si>
    <t>Threshold set</t>
  </si>
  <si>
    <t>Full ≥</t>
  </si>
  <si>
    <t>Strong ≥</t>
  </si>
  <si>
    <t>Adequate ≥</t>
  </si>
  <si>
    <t>Weak ≥</t>
  </si>
  <si>
    <t>Indicative tier</t>
  </si>
  <si>
    <t>Indicative points</t>
  </si>
  <si>
    <t>Minimum DSCR</t>
  </si>
  <si>
    <t>Average DSCR</t>
  </si>
  <si>
    <t>PLCR</t>
  </si>
  <si>
    <t>Single set</t>
  </si>
  <si>
    <t>LLCR</t>
  </si>
  <si>
    <t>Block B indicative total  ◀ auto</t>
  </si>
  <si>
    <t>Tiers are half-open: value takes highest tier it meets or exceeds, evaluated to 4 dp (CORE Section 9.6). PLCR/LLCR thresholds are provisional (CORE Section 11).</t>
  </si>
  <si>
    <t>Coverage floor status  ◀ auto</t>
  </si>
  <si>
    <t>C — BLOCK C: FINANCIAL STRENGTH  (CORE Section 5.1–5.3, 9.3, 9.7)  |  Max 25 points</t>
  </si>
  <si>
    <t>C1.  Total Debt Build — itemise by instrument (CORE Section 9.3)</t>
  </si>
  <si>
    <t>Classify each instrument as Debt or Equity. THE DEFAULT IS DEBT for every instrument, including subordinated sponsor loans and compulsorily convertible debentures. Equity requires affirmative satisfaction of ALL THREE conditions at CORE Section 9.3: mandatorily and fully convertible (or not repayable before the rated debt matures); no cash coupon ahead of scheduled debt service; contractual subordination to the rated debt. A BLANK treatment is a null, not a default, and validation rule V14 blocks it. v2.0 of this workbook shipped with CCDs pre-set to Equity, which inverted CORE Section 9.3 on the one field CORE says moves Sections 5.1 and 5.2 by whole tiers.</t>
  </si>
  <si>
    <t>Instrument</t>
  </si>
  <si>
    <t>Amount</t>
  </si>
  <si>
    <t>Treatment (Debt / Equity)</t>
  </si>
  <si>
    <t>Rupee term loans — senior secured</t>
  </si>
  <si>
    <t>Debt</t>
  </si>
  <si>
    <t>Subordinated sponsor loans</t>
  </si>
  <si>
    <t>Compulsorily convertible debentures</t>
  </si>
  <si>
    <t>Equity</t>
  </si>
  <si>
    <t>Drawn working-capital borrowings (incl. cash credit, drawn LCs)</t>
  </si>
  <si>
    <t>Finance and capital lease liabilities</t>
  </si>
  <si>
    <t>Compulsorily convertible debentures (CCDs)</t>
  </si>
  <si>
    <t>Other interest-bearing liabilities</t>
  </si>
  <si>
    <t>[CRITICAL]  Total Debt (= Adjusted Debt for standalone SPV perimeter, CORE Section 9.3)  {total_debt}</t>
  </si>
  <si>
    <t>Instruments classified as equity (carried into Tangible Net Worth below)</t>
  </si>
  <si>
    <t>C2.  Tangible Net Worth Build (CORE Section 9.3)</t>
  </si>
  <si>
    <t>Paid-up equity share capital</t>
  </si>
  <si>
    <t>Securities premium</t>
  </si>
  <si>
    <t>Free reserves</t>
  </si>
  <si>
    <t>Add: instruments meeting the equity-treatment test  ◀ auto</t>
  </si>
  <si>
    <t>Less: intangible assets</t>
  </si>
  <si>
    <t>Less: revaluation reserves</t>
  </si>
  <si>
    <t>Less: accumulated losses</t>
  </si>
  <si>
    <t>Less: deferred revenue expenditure not written off</t>
  </si>
  <si>
    <t>[CRITICAL]  Tangible Net Worth  {tangible_net_worth}   &lt; auto</t>
  </si>
  <si>
    <t>⚠ Net worth warning  ◀ auto</t>
  </si>
  <si>
    <t>C3.  Coverage and Leverage</t>
  </si>
  <si>
    <t>Project cash flow from operations (CFO)</t>
  </si>
  <si>
    <t>Project CFO / Adjusted Debt  {cfo_over_adjusted_debt}   &lt; auto, decimal fraction</t>
  </si>
  <si>
    <t>Gearing — Total Debt / Tangible Net Worth (x)  ◀ auto</t>
  </si>
  <si>
    <t>Gearing = Total Debt / Tangible Net Worth (CORE Sections 5.2, 9.3). Where TNW is nil or negative this factor SCORES 0 with a V9 Warn — it is a scored zero, not a null, so it does not enter the Null Register and does not reduce confidence through the null count. v2.0 of this workbook returned blank here, which presented a negative-net-worth project as a non-critical null (QA finding M13).</t>
  </si>
  <si>
    <t>C4.  Liquidity — DSRA / Reserve Cover (CORE Section 5.3)</t>
  </si>
  <si>
    <t>Total DSRA or equivalent reserve balance</t>
  </si>
  <si>
    <t xml:space="preserve">  Of which encumbered — pledged, margined or earmarked for another purpose</t>
  </si>
  <si>
    <t>Other available cash — total</t>
  </si>
  <si>
    <t xml:space="preserve">  Of which encumbered</t>
  </si>
  <si>
    <t>Average monthly debt service (interest + principal)</t>
  </si>
  <si>
    <t>Unencumbered DSRA  ◀ auto</t>
  </si>
  <si>
    <t>Unencumbered DSRA + other unencumbered cash  ◀ auto  (feeds PLCR/LLCR numerator above)</t>
  </si>
  <si>
    <t>DSRA months of cover — unencumbered portion only  ◀ auto</t>
  </si>
  <si>
    <t>Liquidity classification  ◀ auto</t>
  </si>
  <si>
    <t>Indicative points — liquidity (of 7)  ◀ auto</t>
  </si>
  <si>
    <t>Only the unencumbered portion counts, and only the DSRA counts. OTHER AVAILABLE CASH DOES NOT ENTER MONTHS OF COVER — it is a general corporate balance, not a reserve dedicated to debt service. It DOES enter the PLCR and LLCR numerators, where the measure is deliberately stock-versus-stock (CORE Sections 5.3 and 9.2, stated explicitly from v3.0 — QA finding m8).</t>
  </si>
  <si>
    <t>C5.  Score Preview — hand-check aid only  (mirrors CORE Section 5, does not feed the engine)</t>
  </si>
  <si>
    <t>Full</t>
  </si>
  <si>
    <t>Strong</t>
  </si>
  <si>
    <t>Adequate</t>
  </si>
  <si>
    <t>Weak</t>
  </si>
  <si>
    <t>Project CFO / Adjusted Debt</t>
  </si>
  <si>
    <t>Gearing — Total Debt / TNW  (lower is better)</t>
  </si>
  <si>
    <t>Liquidity — DSRA months of cover</t>
  </si>
  <si>
    <t>Block C indicative total  ◀ auto</t>
  </si>
  <si>
    <t>Higher-is-better metrics use &gt;= thresholds; gearing uses &lt;= thresholds. Evaluated to 4 decimal places, no tolerance band (CORE Section 9.6).</t>
  </si>
  <si>
    <t>D — VALIDATION STATUS SUMMARY  (full detail on the Validation sheet)</t>
  </si>
  <si>
    <t>Check</t>
  </si>
  <si>
    <t>Status</t>
  </si>
  <si>
    <t>P90 attestation (CORE Section 9.5)</t>
  </si>
  <si>
    <t>Threshold set resolved</t>
  </si>
  <si>
    <t>Coverage floor status (CORE Section 8.3)</t>
  </si>
  <si>
    <t>CFADS reconciliation status</t>
  </si>
  <si>
    <t>Tangible net worth warning</t>
  </si>
  <si>
    <t>See Validation sheet for all 12 CORE Section 10.1 rules</t>
  </si>
  <si>
    <t>→ Validation</t>
  </si>
  <si>
    <t>BLOCK B — CASH-FLOW ADEQUACY: KEY OUTPUTS</t>
  </si>
  <si>
    <t>Feeds Core Rating Criteria v2.0 Sections 4.0–4.4, 9.1–9.2 and 9.5. Version 3.0 — 30 July 2026.</t>
  </si>
  <si>
    <t>READ-ONLY MIRROR. Every value on this sheet is a formula reading the "Data Input" sheet. ENTER ALL DATA ON "DATA INPUT". This sheet is retained only so anyone familiar with the v1.0/v2.0 layout can find their bearings; it is not an entry surface and is protected accordingly.</t>
  </si>
  <si>
    <t>Sheet parameters</t>
  </si>
  <si>
    <t>Currency / unit used throughout this sheet</t>
  </si>
  <si>
    <t>Technology type — enter exactly: Wind / Solar PV / Solar + Wind Hybrid</t>
  </si>
  <si>
    <t>Threshold set applied (CORE Section 4.0)</t>
  </si>
  <si>
    <t>Merchant adjustment to all DSCR thresholds (CORE Section 4.0)</t>
  </si>
  <si>
    <t>DSCR schedule — P90 basis (30 debt years; fill only the years that apply)</t>
  </si>
  <si>
    <t>Derived coverage ratios</t>
  </si>
  <si>
    <t>Both formulas above read the full 30-year block, so extending the schedule needs no formula change. In v1.0 they were hard-ranged to the first 15 years while the Read Me instructed users to extend the schedule for longer tenors, so any added year was silently excluded from both ratios.</t>
  </si>
  <si>
    <t>P90 attestation — mandatory before Block B can be scored (CORE Section 9.5)</t>
  </si>
  <si>
    <t>P90 annual PLF / generation estimate (%)</t>
  </si>
  <si>
    <t>Basis of the CFADS schedule  &gt;  the only permitted value is:  Attested as P90</t>
  </si>
  <si>
    <t>Resource study relied on (consultant and report date)</t>
  </si>
  <si>
    <t>Preparer name and date of attestation</t>
  </si>
  <si>
    <t>P90 attestation status</t>
  </si>
  <si>
    <t>CORE v3.0 Section 9.5: attestation is the only route; the derivation route is withdrawn. All four attestation fields are critical inputs.</t>
  </si>
  <si>
    <t>CFADS reconciliation — direct build against net-cash-accrual build (CORE Section 9.1)</t>
  </si>
  <si>
    <t>Optional. Complete only if your model produces CFADS by the net-cash-accrual route. The two routes must agree within 2% for every period (validation rule V6).</t>
  </si>
  <si>
    <t>Total CFADS over the schedule</t>
  </si>
  <si>
    <t>Reconciliation status</t>
  </si>
  <si>
    <t>Interest expense and scheduled principal are excluded from CFADS in both routes — they are the DSCR denominator and cannot also reduce the numerator (CORE Section 9.1). A DSRA drawdown, an equity or sponsor contribution and a debt drawdown are not CFADS inflows.</t>
  </si>
  <si>
    <t>PLCR and LLCR inputs</t>
  </si>
  <si>
    <t>Unencumbered DSRA + other available unencumbered cash at calculation date</t>
  </si>
  <si>
    <t>Discount rate used for both NPVs — effective contracted rate on the rated debt (CORE Section 9.4)</t>
  </si>
  <si>
    <t>Both denominators are principal outstanding on the rated debt plus equally- and more-senior debt, per CORE Section 9.2. v1.0 of the criteria stated the pari passu addition for PLCR only and omitted it from LLCR; this workbook already assumed it for both, and CORE v2.0 now states it for both.</t>
  </si>
  <si>
    <t>The DSRA in cell B70 is the unencumbered balance from the Financial sheet and is also scored in the liquidity factor at CORE Section 5.3. CORE Section 9.7 permits this as a stated exception: PLCR and LLCR are stock-versus-stock coverage measures at a point in time, so available cash properly forms part of the resources measured against outstanding principal, whereas DSCR is a flow measure of a single period. The prohibition is narrowed to CFADS and DSCR only. v1.0 of this workbook noted that the reserve was "counted once only" — it was not; sourcing a value from one cell is not counting it once, and the criteria document simultaneously required and forbade the treatment.</t>
  </si>
  <si>
    <t>Score Preview — hand-check aid only (mirrors CORE Section 4)</t>
  </si>
  <si>
    <t>Block B indicative total (of 35)</t>
  </si>
  <si>
    <t>Tiers are half-open: a value takes the highest tier whose threshold it meets or exceeds, evaluated to four decimal places with no tolerance band (CORE Section 9.6). PLCR and LLCR thresholds are Developer calibrations, not published agency figures, and are provisional pending back-test (CORE Section 11).</t>
  </si>
  <si>
    <t>Coverage floor: a Minimum DSCR below 1.00x caps the final band at BB regardless of raw score (CORE Section 4.1 and Section 8.3).</t>
  </si>
  <si>
    <t>BLOCK C — FINANCIAL STRENGTH: KEY OUTPUTS</t>
  </si>
  <si>
    <t>Feeds Core Rating Criteria v2.0 Sections 5.1–5.3, 9.3 and 9.7 (non-double-counting rule). Version 3.0 — 30 July 2026.</t>
  </si>
  <si>
    <t>Total Debt build — itemise by instrument (CORE Section 9.3)</t>
  </si>
  <si>
    <t>Enter each instrument separately. The equity-treatment column decides whether an instrument is Total Debt or Tangible Net Worth. An instrument qualifies as equity only if all three conditions at CORE Section 9.3 hold: mandatorily and fully convertible or not repayable before final maturity of the rated debt; no cash coupon ahead of scheduled debt service; and contractual subordination to the rated debt. Enter Debt or Equity in column C. v1.0 left Total Debt, Adjusted Debt and Tangible Net Worth undefined, and CCD-heavy structures are common in Indian renewables — the classification moves Sections 5.1 and 5.2 by whole tiers.</t>
  </si>
  <si>
    <t>Rupee term loans</t>
  </si>
  <si>
    <t>Foreign-currency term loans</t>
  </si>
  <si>
    <t>Non-convertible debentures</t>
  </si>
  <si>
    <t>Total Debt (= Adjusted Debt for the standalone SPV perimeter, CORE Section 9.3)</t>
  </si>
  <si>
    <t>Tangible Net Worth build (CORE Section 9.3)</t>
  </si>
  <si>
    <t>Add: instruments meeting the equity-treatment test</t>
  </si>
  <si>
    <t>Tangible Net Worth</t>
  </si>
  <si>
    <t>Coverage and leverage</t>
  </si>
  <si>
    <t>Project CFO / Adjusted Debt   &lt; auto, decimal fraction</t>
  </si>
  <si>
    <t>Gearing — Total Debt / Tangible Net Worth (x)</t>
  </si>
  <si>
    <t>CORE v2.0 Section 5.2 is titled "Gearing — Total Debt / Tangible Net Worth" and that is the single governing definition. v1.0 titled the factor "Gearing — Debt: Equity" with tiers labelled 65:35, 70:30, 75:25 and 80:20, while Section 9.2 defined it as Total Debt / Tangible Net Worth — two different ratios, since TNW excludes intangibles and treats revaluation reserves differently from book equity. The x-multiple equivalents of those ratio labels are retained in CORE for orientation only and hold only where TNW equals book equity.</t>
  </si>
  <si>
    <t>Liquidity — DSRA / reserve cover (CORE Section 5.3)</t>
  </si>
  <si>
    <t>Of which encumbered — pledged, margined or earmarked for another purpose</t>
  </si>
  <si>
    <t>Of which encumbered</t>
  </si>
  <si>
    <t>Unencumbered DSRA</t>
  </si>
  <si>
    <t>Unencumbered DSRA + other unencumbered cash (feeds PLCR/LLCR numerator)</t>
  </si>
  <si>
    <t>DSRA months of cover — unencumbered portion only</t>
  </si>
  <si>
    <t>Liquidity classification (CORE Section 5.3, five tiers)</t>
  </si>
  <si>
    <t>Indicative points — liquidity (of 7)</t>
  </si>
  <si>
    <t>Score Preview — hand-check aid only (mirrors CORE Section 5)</t>
  </si>
  <si>
    <t>Gearing — Total Debt / TNW (lower is better)</t>
  </si>
  <si>
    <t>Block C indicative total (of 25)</t>
  </si>
  <si>
    <t>Higher-is-better metrics use &gt;= thresholds; gearing, being lower-is-better, uses &lt;= thresholds and takes the first qualifying tier reading across. Evaluated to four decimal places with no tolerance band (CORE Section 9.6).</t>
  </si>
  <si>
    <t>Cell B44 (unencumbered DSRA plus other unencumbered cash) is referenced by the PLCR and LLCR numerators on the Cash-flow sheet. Under CORE Section 9.7 the same reserve is deliberately counted both there and in the liquidity factor above: PLCR and LLCR are stock-versus-stock coverage measures at a point in time, whereas DSCR is a flow measure of a single period, so the prohibition is narrowed to CFADS and DSCR only. This is a stated exception, not an oversight, and the consequence is disclosed — one balance influences up to 7 points at Section 5.3 and up to 12 points at Section 4.3 and Section 4.4. v1.0 of this workbook described the same mechanic as "counted once only, consistent with the non-double-counting rule" and cited Section 9.4; the reserve was in fact counted in three places, the criteria document forbade in Section 9.5 what it required in Section 9.2, and Section 9.4 was the P90 Generation Basis, not the liquidity rule. In CORE v2.0 the rule is Section 9.7.</t>
  </si>
  <si>
    <t>VALIDATION — INTERNAL CONSISTENCY CHECKS</t>
  </si>
  <si>
    <t>Implements CORE v3.0 Section 10.1. Section 10.1.1 states WHEN these run: Stage 1 critical nulls, Stage 2 non-critical nulls, Stage 3 these checks, Stage 4 scoring, Stage 5 engine assertions. A rule runs ONLY where every operand it needs is populated; otherwise it returns "Not Evaluated" and does not block. Not Evaluated does not itself reduce confidence — the underlying null already does.</t>
  </si>
  <si>
    <t>Rules V3, V11, V12, V13 and A3 depend on inputs held in Key Input Template 1 and are evaluated by the engine, not by this workbook. They are listed so the full rule set is visible in one place.</t>
  </si>
  <si>
    <t>INPUT VALIDATIONS — these test the submitted input set</t>
  </si>
  <si>
    <t>Rule</t>
  </si>
  <si>
    <t>Result</t>
  </si>
  <si>
    <t>Classification if failed</t>
  </si>
  <si>
    <t>V1</t>
  </si>
  <si>
    <t>Average DSCR &gt;= Minimum DSCR</t>
  </si>
  <si>
    <t>Block</t>
  </si>
  <si>
    <t>V2</t>
  </si>
  <si>
    <t>PLCR &gt;= LLCR (remaining project life &gt;= remaining loan life)</t>
  </si>
  <si>
    <t>V3</t>
  </si>
  <si>
    <t>Offtaker contracted shares (four individual plus the aggregated line) sum to 1.0000 +/- 0.0100</t>
  </si>
  <si>
    <t>Engine — Template 1 Section N</t>
  </si>
  <si>
    <t>V6</t>
  </si>
  <si>
    <t>Where a net-cash-accrual CFADS series is supplied, it agrees with the direct build within 2% IN EVERY PERIOD, tested period by period</t>
  </si>
  <si>
    <t>V7</t>
  </si>
  <si>
    <t>Encumbered DSRA &lt;= total DSRA balance</t>
  </si>
  <si>
    <t>V7a</t>
  </si>
  <si>
    <t>Encumbered other cash &lt;= total other cash  [NEW in v3.0 — v2.0 checked DSRA encumbrance only]</t>
  </si>
  <si>
    <t>V8</t>
  </si>
  <si>
    <t>Minimum DSCR &lt; 1.00x coexisting with PLCR &gt;= 2.00x — close to incoherent</t>
  </si>
  <si>
    <t>Warn</t>
  </si>
  <si>
    <t>V8a</t>
  </si>
  <si>
    <t>Minimum DSCR scores 0 points but the coverage floor has NOT triggered — reachable only where the merchant adjustment applies, since the floor is absolute at 1.00x  [NEW in v3.0, QA finding M1]</t>
  </si>
  <si>
    <t>V9</t>
  </si>
  <si>
    <t>Tangible net worth is nil or negative</t>
  </si>
  <si>
    <t>V11</t>
  </si>
  <si>
    <t>Operating project with COD date later than the calculation date</t>
  </si>
  <si>
    <t>Engine — Template 1 Section A.1</t>
  </si>
  <si>
    <t>V12</t>
  </si>
  <si>
    <t>Any offtaker rating, discount rate or ALMM parameter flagged stale</t>
  </si>
  <si>
    <t>Engine — Template 1 Sections A.5 and N</t>
  </si>
  <si>
    <t>V13</t>
  </si>
  <si>
    <t>Fields captured in both templates agree: technology_type, calculation_date. Merchant exposure is derived and never entered, so no comparison arises.  [NEW in v3.0, QA finding M8]</t>
  </si>
  <si>
    <t>Engine — Template 1 vs Data Input B6:B7</t>
  </si>
  <si>
    <t>V14</t>
  </si>
  <si>
    <t>Every instrument with a non-zero amount carries a Debt or Equity treatment  [NEW in v3.0, QA finding M14]</t>
  </si>
  <si>
    <t>ENGINE ASSERTIONS — these test the engine's own arithmetic, not the user's input</t>
  </si>
  <si>
    <t>A failure is an implementation defect and must halt the response, not be shown as a data problem. v2.0 listed these as V4, V5 and V10 alongside the input validations, which implied a user could clear them by correcting data. They cannot (QA finding m7).</t>
  </si>
  <si>
    <t>Assertion</t>
  </si>
  <si>
    <t>A1</t>
  </si>
  <si>
    <t>Sum of the four block sub-scores equals the raw score  [was V4]</t>
  </si>
  <si>
    <t>Engine</t>
  </si>
  <si>
    <t>Halt — implementation defect</t>
  </si>
  <si>
    <t>A2</t>
  </si>
  <si>
    <t>Raw score &lt;= 115 and each block sub-score &lt;= its maximum (35 / 35 / 25 / 20)  [was V5]</t>
  </si>
  <si>
    <t>A3</t>
  </si>
  <si>
    <t>Where derived merchant exposure &gt; 0.2500, the +0.20x shift is present in the Section 4.1 and 4.2 threshold lookups actually used  [was V10]</t>
  </si>
  <si>
    <t>A4</t>
  </si>
  <si>
    <t>Where a cap binds, the reported post-notching score is identical to the score the same inputs produce with the cap suppressed  [NEW in v3.0]</t>
  </si>
  <si>
    <t>SHEET-LEVEL CHECKS</t>
  </si>
  <si>
    <t>P90 attestation satisfied (CORE Section 9.5 — attestation is the only route)</t>
  </si>
  <si>
    <t>Threshold set resolved from technology type (CORE Section 4.0)</t>
  </si>
  <si>
    <t>Coverage floor status (CORE Section 8.3 — absolute at 1.00x, never merchant-adjusted)</t>
  </si>
  <si>
    <t>Debt years populated in the DSCR schedule</t>
  </si>
  <si>
    <t>Total Debt reconciles to the instrument build (CORE Section 9.3)</t>
  </si>
  <si>
    <t xml:space="preserve">  ^ v2.0 wrote this check as IF(B16=SUMIF(C8:C15,"Debt",B8:B15)) — comparing Total Debt to its own defining formula, so it always passed. The real risk it should have caught, an instrument with an amount and a blank treatment being silently excluded from BOTH Total Debt and Tangible Net Worth, was unguarded (QA finding M14).</t>
  </si>
  <si>
    <t>CFADS — net-cash-accrual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</si>
</sst>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x"/>
    <numFmt numFmtId="166" formatCode="0.0000\x"/>
    <numFmt numFmtId="167" formatCode="0.0&quot;  of 35&quot;"/>
    <numFmt numFmtId="168" formatCode="0.0000%"/>
    <numFmt numFmtId="169" formatCode="0.0&quot; mo&quot;"/>
    <numFmt numFmtId="170" formatCode="0.000\x"/>
    <numFmt numFmtId="171" formatCode="0.0&quot; of 25&quot;"/>
    <numFmt numFmtId="172" formatCode="0.0000"/>
    <numFmt numFmtId="173" formatCode="0.0"/>
  </numFmts>
  <fonts count="24" x14ac:knownFonts="1">
    <font>
      <sz val="11"/>
      <color theme="1"/>
      <name val="Calibri"/>
      <family val="2"/>
      <charset val="1"/>
    </font>
    <font>
      <b/>
      <sz val="13"/>
      <name val="Arial"/>
      <charset val="1"/>
    </font>
    <font>
      <i/>
      <sz val="10"/>
      <color rgb="FF555555"/>
      <name val="Arial"/>
      <charset val="1"/>
    </font>
    <font>
      <sz val="10"/>
      <name val="Arial"/>
      <charset val="1"/>
    </font>
    <font>
      <b/>
      <sz val="11"/>
      <name val="Arial"/>
      <charset val="1"/>
    </font>
    <font>
      <b/>
      <sz val="11"/>
      <color rgb="FF1F3864"/>
      <name val="Arial"/>
      <charset val="1"/>
    </font>
    <font>
      <b/>
      <sz val="12"/>
      <color rgb="FFFFFFFF"/>
      <name val="Arial"/>
      <charset val="1"/>
    </font>
    <font>
      <i/>
      <sz val="9"/>
      <color rgb="FF595959"/>
      <name val="Arial"/>
      <charset val="1"/>
    </font>
    <font>
      <b/>
      <sz val="10"/>
      <color rgb="FFFFFFFF"/>
      <name val="Arial"/>
      <charset val="1"/>
    </font>
    <font>
      <sz val="10"/>
      <color rgb="FF0000FF"/>
      <name val="Arial"/>
      <charset val="1"/>
    </font>
    <font>
      <sz val="10"/>
      <color rgb="FF000000"/>
      <name val="Arial"/>
      <charset val="1"/>
    </font>
    <font>
      <b/>
      <sz val="10"/>
      <color rgb="FF1F3864"/>
      <name val="Arial"/>
      <charset val="1"/>
    </font>
    <font>
      <b/>
      <sz val="10"/>
      <name val="Arial"/>
      <charset val="1"/>
    </font>
    <font>
      <b/>
      <sz val="10"/>
      <color rgb="FF0070C0"/>
      <name val="Arial"/>
      <charset val="1"/>
    </font>
    <font>
      <i/>
      <sz val="9"/>
      <color rgb="FF555555"/>
      <name val="Arial"/>
      <charset val="1"/>
    </font>
    <font>
      <sz val="10"/>
      <color rgb="FF008000"/>
      <name val="Arial"/>
      <charset val="1"/>
    </font>
    <font>
      <b/>
      <sz val="10"/>
      <color rgb="FFC00000"/>
      <name val="Arial"/>
      <charset val="1"/>
    </font>
    <font>
      <i/>
      <sz val="9"/>
      <color rgb="FF595959"/>
      <name val="Calibri"/>
    </font>
    <font>
      <b/>
      <sz val="11"/>
      <color rgb="FF9C0006"/>
      <name val="Calibri"/>
    </font>
    <font>
      <b/>
      <sz val="11"/>
      <color rgb="FFFFFFFF"/>
      <name val="Calibri"/>
    </font>
    <font>
      <b/>
      <sz val="10"/>
      <color rgb="FFFFFFFF"/>
      <name val="Calibri"/>
    </font>
    <font>
      <b/>
      <sz val="11"/>
      <name val="Calibri"/>
    </font>
    <font>
      <b/>
      <sz val="10"/>
      <color rgb="FF9C0006"/>
      <name val="Calibri"/>
    </font>
    <font>
      <b/>
      <sz val="11"/>
      <color rgb="FF9C0006"/>
      <name val="Calibri"/>
    </font>
  </fonts>
  <fills count="12">
    <fill>
      <patternFill patternType="none"/>
    </fill>
    <fill>
      <patternFill patternType="gray125"/>
    </fill>
    <fill>
      <patternFill patternType="solid">
        <fgColor rgb="FF1F3864"/>
        <bgColor rgb="FF333399"/>
      </patternFill>
    </fill>
    <fill>
      <patternFill patternType="solid">
        <fgColor rgb="FF4472C4"/>
        <bgColor rgb="FF0070C0"/>
      </patternFill>
    </fill>
    <fill>
      <patternFill patternType="solid">
        <fgColor rgb="FFFFF2CC"/>
        <bgColor rgb="FFF2F2F2"/>
      </patternFill>
    </fill>
    <fill>
      <patternFill patternType="solid">
        <fgColor rgb="FFDDEBF7"/>
        <bgColor rgb="FFDCE6F1"/>
      </patternFill>
    </fill>
    <fill>
      <patternFill patternType="solid">
        <fgColor rgb="FFDCE6F1"/>
        <bgColor rgb="FFDDEBF7"/>
      </patternFill>
    </fill>
    <fill>
      <patternFill patternType="solid">
        <fgColor rgb="FFD9D9D9"/>
        <bgColor rgb="FFDCE6F1"/>
      </patternFill>
    </fill>
    <fill>
      <patternFill patternType="solid">
        <fgColor rgb="FFDDEBF7"/>
      </patternFill>
    </fill>
    <fill>
      <patternFill patternType="solid">
        <fgColor rgb="FF1F3864"/>
      </patternFill>
    </fill>
    <fill>
      <patternFill patternType="solid">
        <fgColor rgb="FF4472C4"/>
      </patternFill>
    </fill>
    <fill>
      <patternFill patternType="solid">
        <fgColor rgb="FFFFF2CC"/>
      </patternFill>
    </fill>
  </fills>
  <borders count="5">
    <border>
      <left/>
      <right/>
      <top/>
      <bottom/>
      <diagonal/>
    </border>
    <border>
      <left style="thin">
        <color rgb="FFB8B8B8"/>
      </left>
      <right style="thin">
        <color rgb="FFB8B8B8"/>
      </right>
      <top style="thin">
        <color rgb="FFB8B8B8"/>
      </top>
      <bottom style="thin">
        <color rgb="FFB8B8B8"/>
      </bottom>
      <diagonal/>
    </border>
    <border>
      <left style="thin">
        <color rgb="FFBFBFBF"/>
      </left>
      <right style="thin">
        <color rgb="FFBFBFBF"/>
      </right>
      <top style="thin">
        <color rgb="FFBFBFBF"/>
      </top>
      <bottom style="thin">
        <color rgb="FFBFBFBF"/>
      </bottom>
      <diagonal/>
    </border>
    <border>
      <left/>
      <right/>
      <top style="thin">
        <color rgb="FFB8B8B8"/>
      </top>
      <bottom style="thin">
        <color rgb="FFB8B8B8"/>
      </bottom>
      <diagonal/>
    </border>
    <border>
      <left/>
      <right style="thin">
        <color rgb="FFB8B8B8"/>
      </right>
      <top style="thin">
        <color rgb="FFB8B8B8"/>
      </top>
      <bottom style="thin">
        <color rgb="FFB8B8B8"/>
      </bottom>
      <diagonal/>
    </border>
  </borders>
  <cellStyleXfs count="1">
    <xf numFmtId="0" fontId="0" fillId="0" borderId="0"/>
  </cellStyleXfs>
  <cellXfs count="7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center" wrapText="1"/>
    </xf>
    <xf numFmtId="0" fontId="10" fillId="5" borderId="1" xfId="0" applyFont="1" applyFill="1" applyBorder="1" applyAlignment="1">
      <alignment horizontal="right" vertical="center"/>
    </xf>
    <xf numFmtId="0" fontId="12" fillId="7" borderId="1" xfId="0" applyFont="1" applyFill="1" applyBorder="1" applyAlignment="1">
      <alignment horizontal="center" vertical="center" wrapText="1"/>
    </xf>
    <xf numFmtId="165" fontId="10" fillId="5" borderId="1" xfId="0" applyNumberFormat="1" applyFont="1" applyFill="1" applyBorder="1" applyAlignment="1">
      <alignment horizontal="right" vertical="center"/>
    </xf>
    <xf numFmtId="0" fontId="12" fillId="0" borderId="0" xfId="0" applyFont="1" applyAlignment="1">
      <alignment horizontal="left" vertical="center" wrapText="1"/>
    </xf>
    <xf numFmtId="166" fontId="10" fillId="5" borderId="1" xfId="0" applyNumberFormat="1" applyFont="1" applyFill="1" applyBorder="1" applyAlignment="1">
      <alignment horizontal="right" vertical="center"/>
    </xf>
    <xf numFmtId="1" fontId="10" fillId="5" borderId="1" xfId="0" applyNumberFormat="1" applyFont="1" applyFill="1" applyBorder="1" applyAlignment="1">
      <alignment horizontal="right" vertical="center"/>
    </xf>
    <xf numFmtId="164" fontId="10" fillId="5" borderId="1" xfId="0" applyNumberFormat="1" applyFont="1" applyFill="1" applyBorder="1" applyAlignment="1">
      <alignment horizontal="right" vertical="center"/>
    </xf>
    <xf numFmtId="0" fontId="0" fillId="5" borderId="1" xfId="0" applyFill="1" applyBorder="1"/>
    <xf numFmtId="167" fontId="10" fillId="5" borderId="1" xfId="0" applyNumberFormat="1" applyFont="1" applyFill="1" applyBorder="1" applyAlignment="1">
      <alignment horizontal="right" vertical="center"/>
    </xf>
    <xf numFmtId="168" fontId="10" fillId="5" borderId="1" xfId="0" applyNumberFormat="1" applyFont="1" applyFill="1" applyBorder="1" applyAlignment="1">
      <alignment horizontal="right" vertical="center"/>
    </xf>
    <xf numFmtId="169" fontId="10" fillId="5" borderId="1" xfId="0" applyNumberFormat="1" applyFont="1" applyFill="1" applyBorder="1" applyAlignment="1">
      <alignment horizontal="right" vertical="center"/>
    </xf>
    <xf numFmtId="9" fontId="0" fillId="5" borderId="0" xfId="0" applyNumberFormat="1" applyFill="1"/>
    <xf numFmtId="170" fontId="0" fillId="5" borderId="0" xfId="0" applyNumberFormat="1" applyFill="1"/>
    <xf numFmtId="0" fontId="0" fillId="5" borderId="0" xfId="0" applyFill="1"/>
    <xf numFmtId="171" fontId="10" fillId="5" borderId="1" xfId="0" applyNumberFormat="1" applyFont="1" applyFill="1" applyBorder="1" applyAlignment="1">
      <alignment horizontal="right" vertical="center"/>
    </xf>
    <xf numFmtId="0" fontId="10" fillId="5" borderId="1" xfId="0" applyFont="1" applyFill="1" applyBorder="1" applyAlignment="1">
      <alignment horizontal="left" vertical="center" wrapText="1"/>
    </xf>
    <xf numFmtId="1" fontId="10" fillId="5" borderId="1" xfId="0" applyNumberFormat="1" applyFont="1" applyFill="1" applyBorder="1" applyAlignment="1">
      <alignment horizontal="left" vertical="center" wrapText="1"/>
    </xf>
    <xf numFmtId="0" fontId="13" fillId="0" borderId="0" xfId="0" applyFont="1" applyAlignment="1">
      <alignment horizontal="left" vertical="center" wrapText="1"/>
    </xf>
    <xf numFmtId="0" fontId="1" fillId="0" borderId="0" xfId="0" applyFont="1"/>
    <xf numFmtId="0" fontId="14" fillId="0" borderId="0" xfId="0" applyFont="1"/>
    <xf numFmtId="0" fontId="4" fillId="0" borderId="0" xfId="0" applyFont="1"/>
    <xf numFmtId="0" fontId="3" fillId="0" borderId="0" xfId="0" applyFont="1"/>
    <xf numFmtId="0" fontId="12" fillId="0" borderId="0" xfId="0" applyFont="1"/>
    <xf numFmtId="0" fontId="3" fillId="5" borderId="2" xfId="0" applyFont="1" applyFill="1" applyBorder="1"/>
    <xf numFmtId="172" fontId="3" fillId="5" borderId="2" xfId="0" applyNumberFormat="1" applyFont="1" applyFill="1" applyBorder="1"/>
    <xf numFmtId="0" fontId="12" fillId="7" borderId="2" xfId="0" applyFont="1" applyFill="1" applyBorder="1" applyAlignment="1">
      <alignment vertical="top" wrapText="1"/>
    </xf>
    <xf numFmtId="3" fontId="3" fillId="5" borderId="2" xfId="0" applyNumberFormat="1" applyFont="1" applyFill="1" applyBorder="1"/>
    <xf numFmtId="1" fontId="3" fillId="5" borderId="2" xfId="0" applyNumberFormat="1" applyFont="1" applyFill="1" applyBorder="1"/>
    <xf numFmtId="10" fontId="3" fillId="5" borderId="2" xfId="0" applyNumberFormat="1" applyFont="1" applyFill="1" applyBorder="1"/>
    <xf numFmtId="3" fontId="15" fillId="5" borderId="2" xfId="0" applyNumberFormat="1" applyFont="1" applyFill="1" applyBorder="1"/>
    <xf numFmtId="173" fontId="3" fillId="5" borderId="2" xfId="0" applyNumberFormat="1" applyFont="1" applyFill="1" applyBorder="1"/>
    <xf numFmtId="0" fontId="16" fillId="5" borderId="2" xfId="0" applyFont="1" applyFill="1" applyBorder="1"/>
    <xf numFmtId="0" fontId="14" fillId="0" borderId="0" xfId="0" applyFont="1" applyAlignment="1">
      <alignment vertical="top" wrapText="1"/>
    </xf>
    <xf numFmtId="164" fontId="9" fillId="8" borderId="1" xfId="0" applyNumberFormat="1" applyFont="1" applyFill="1" applyBorder="1" applyAlignment="1">
      <alignment horizontal="right" vertical="center"/>
    </xf>
    <xf numFmtId="0" fontId="17" fillId="0" borderId="0" xfId="0" applyFont="1" applyAlignment="1">
      <alignment vertical="top" wrapText="1"/>
    </xf>
    <xf numFmtId="0" fontId="18" fillId="0" borderId="0" xfId="0" applyFont="1" applyAlignment="1">
      <alignment horizontal="left" vertical="center" wrapText="1"/>
    </xf>
    <xf numFmtId="0" fontId="9" fillId="4" borderId="1" xfId="0" applyFont="1" applyFill="1" applyBorder="1" applyAlignment="1" applyProtection="1">
      <alignment horizontal="right" vertical="center"/>
      <protection locked="0"/>
    </xf>
    <xf numFmtId="0" fontId="21" fillId="0" borderId="0" xfId="0" applyFont="1" applyAlignment="1">
      <alignment vertical="top" wrapText="1"/>
    </xf>
    <xf numFmtId="0" fontId="0" fillId="11" borderId="0" xfId="0" applyFill="1" applyProtection="1">
      <protection locked="0"/>
    </xf>
    <xf numFmtId="0" fontId="0" fillId="8" borderId="0" xfId="0" applyFill="1"/>
    <xf numFmtId="164" fontId="9" fillId="4" borderId="1" xfId="0" applyNumberFormat="1" applyFont="1" applyFill="1" applyBorder="1" applyAlignment="1" applyProtection="1">
      <alignment horizontal="right" vertical="center"/>
      <protection locked="0"/>
    </xf>
    <xf numFmtId="0" fontId="21" fillId="0" borderId="0" xfId="0" applyFont="1"/>
    <xf numFmtId="10" fontId="9" fillId="4" borderId="1" xfId="0" applyNumberFormat="1" applyFont="1" applyFill="1" applyBorder="1" applyAlignment="1" applyProtection="1">
      <alignment horizontal="right" vertical="center"/>
      <protection locked="0"/>
    </xf>
    <xf numFmtId="0" fontId="9" fillId="4" borderId="1" xfId="0" applyFont="1" applyFill="1" applyBorder="1" applyAlignment="1" applyProtection="1">
      <alignment horizontal="center" vertical="center" wrapText="1"/>
      <protection locked="0"/>
    </xf>
    <xf numFmtId="0" fontId="19" fillId="9" borderId="0" xfId="0" applyFont="1" applyFill="1"/>
    <xf numFmtId="0" fontId="20" fillId="10" borderId="0" xfId="0" applyFont="1" applyFill="1"/>
    <xf numFmtId="0" fontId="22" fillId="0" borderId="0" xfId="0" applyFont="1" applyAlignment="1">
      <alignment vertical="top" wrapText="1"/>
    </xf>
    <xf numFmtId="0" fontId="9" fillId="8" borderId="1" xfId="0" applyFont="1" applyFill="1" applyBorder="1" applyAlignment="1">
      <alignment horizontal="right" vertical="center"/>
    </xf>
    <xf numFmtId="0" fontId="10" fillId="11" borderId="1" xfId="0" applyFont="1" applyFill="1" applyBorder="1" applyAlignment="1" applyProtection="1">
      <alignment horizontal="right" vertical="center"/>
      <protection locked="0"/>
    </xf>
    <xf numFmtId="0" fontId="9" fillId="8" borderId="2" xfId="0" applyFont="1" applyFill="1" applyBorder="1"/>
    <xf numFmtId="10" fontId="9" fillId="8" borderId="2" xfId="0" applyNumberFormat="1" applyFont="1" applyFill="1" applyBorder="1"/>
    <xf numFmtId="3" fontId="9" fillId="8" borderId="2" xfId="0" applyNumberFormat="1" applyFont="1" applyFill="1" applyBorder="1"/>
    <xf numFmtId="2" fontId="9" fillId="8" borderId="2" xfId="0" applyNumberFormat="1" applyFont="1" applyFill="1" applyBorder="1"/>
    <xf numFmtId="0" fontId="23" fillId="0" borderId="0" xfId="0" applyFont="1" applyAlignment="1">
      <alignment vertical="top" wrapText="1"/>
    </xf>
    <xf numFmtId="0" fontId="8" fillId="3" borderId="0" xfId="0" applyFont="1" applyFill="1" applyAlignment="1">
      <alignment horizontal="left" vertical="center" wrapText="1"/>
    </xf>
    <xf numFmtId="0" fontId="0" fillId="0" borderId="0" xfId="0"/>
    <xf numFmtId="0" fontId="7" fillId="0" borderId="0" xfId="0" applyFont="1" applyAlignment="1">
      <alignment horizontal="left" vertical="center" wrapText="1"/>
    </xf>
    <xf numFmtId="0" fontId="11" fillId="6" borderId="0" xfId="0" applyFont="1" applyFill="1" applyAlignment="1">
      <alignment horizontal="left" vertical="center" wrapText="1"/>
    </xf>
    <xf numFmtId="0" fontId="7" fillId="0" borderId="0" xfId="0" applyFont="1" applyAlignment="1">
      <alignment vertical="top" wrapText="1"/>
    </xf>
    <xf numFmtId="0" fontId="17" fillId="0" borderId="0" xfId="0" applyFont="1" applyAlignment="1">
      <alignment vertical="top" wrapText="1"/>
    </xf>
    <xf numFmtId="0" fontId="10" fillId="5" borderId="1" xfId="0" applyFont="1" applyFill="1" applyBorder="1" applyAlignment="1">
      <alignment horizontal="right" vertical="center"/>
    </xf>
    <xf numFmtId="0" fontId="0" fillId="0" borderId="3" xfId="0" applyBorder="1"/>
    <xf numFmtId="0" fontId="0" fillId="0" borderId="4" xfId="0" applyBorder="1"/>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CE6F1"/>
      <rgbColor rgb="FFE2EFDA"/>
      <rgbColor rgb="FFF2F2F2"/>
      <rgbColor rgb="FFB8B8B8"/>
      <rgbColor rgb="FFFF99CC"/>
      <rgbColor rgb="FFCC99FF"/>
      <rgbColor rgb="FFFFCC99"/>
      <rgbColor rgb="FF4472C4"/>
      <rgbColor rgb="FF33CCCC"/>
      <rgbColor rgb="FF99CC00"/>
      <rgbColor rgb="FFFFC000"/>
      <rgbColor rgb="FFFF9900"/>
      <rgbColor rgb="FFFF6600"/>
      <rgbColor rgb="FF595959"/>
      <rgbColor rgb="FFA9A9A9"/>
      <rgbColor rgb="FF1F3864"/>
      <rgbColor rgb="FF70AD47"/>
      <rgbColor rgb="FF003300"/>
      <rgbColor rgb="FF333300"/>
      <rgbColor rgb="FF993300"/>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showGridLines="0" tabSelected="1" zoomScaleNormal="100" workbookViewId="0"/>
  </sheetViews>
  <sheetFormatPr defaultColWidth="8.68359375" defaultRowHeight="14.4" x14ac:dyDescent="0.55000000000000004"/>
  <cols>
    <col min="1" max="1" width="150" customWidth="1"/>
  </cols>
  <sheetData>
    <row r="1" spans="1:1" ht="15.75" customHeight="1" x14ac:dyDescent="0.55000000000000004">
      <c r="A1" s="1" t="s">
        <v>0</v>
      </c>
    </row>
    <row r="2" spans="1:1" ht="15" customHeight="1" x14ac:dyDescent="0.55000000000000004">
      <c r="A2" s="2" t="s">
        <v>1</v>
      </c>
    </row>
    <row r="3" spans="1:1" ht="27.75" customHeight="1" x14ac:dyDescent="0.55000000000000004">
      <c r="A3" s="2" t="s">
        <v>2</v>
      </c>
    </row>
    <row r="4" spans="1:1" ht="15" customHeight="1" x14ac:dyDescent="0.55000000000000004">
      <c r="A4" s="3"/>
    </row>
    <row r="5" spans="1:1" ht="15" customHeight="1" x14ac:dyDescent="0.55000000000000004">
      <c r="A5" s="4" t="s">
        <v>3</v>
      </c>
    </row>
    <row r="6" spans="1:1" ht="27.75" customHeight="1" x14ac:dyDescent="0.55000000000000004">
      <c r="A6" s="3" t="s">
        <v>4</v>
      </c>
    </row>
    <row r="7" spans="1:1" ht="15" customHeight="1" x14ac:dyDescent="0.55000000000000004">
      <c r="A7" s="3"/>
    </row>
    <row r="8" spans="1:1" ht="15" customHeight="1" x14ac:dyDescent="0.55000000000000004">
      <c r="A8" s="4" t="s">
        <v>5</v>
      </c>
    </row>
    <row r="9" spans="1:1" ht="15" customHeight="1" x14ac:dyDescent="0.55000000000000004">
      <c r="A9" s="3" t="s">
        <v>6</v>
      </c>
    </row>
    <row r="10" spans="1:1" ht="15" customHeight="1" x14ac:dyDescent="0.55000000000000004">
      <c r="A10" s="3" t="s">
        <v>7</v>
      </c>
    </row>
    <row r="11" spans="1:1" ht="15" customHeight="1" x14ac:dyDescent="0.55000000000000004">
      <c r="A11" s="3" t="s">
        <v>8</v>
      </c>
    </row>
    <row r="12" spans="1:1" ht="15" customHeight="1" x14ac:dyDescent="0.55000000000000004">
      <c r="A12" s="3"/>
    </row>
    <row r="13" spans="1:1" ht="15" customHeight="1" x14ac:dyDescent="0.55000000000000004">
      <c r="A13" s="4" t="s">
        <v>9</v>
      </c>
    </row>
    <row r="14" spans="1:1" ht="27.75" customHeight="1" x14ac:dyDescent="0.55000000000000004">
      <c r="A14" s="3" t="s">
        <v>10</v>
      </c>
    </row>
    <row r="15" spans="1:1" ht="27.75" customHeight="1" x14ac:dyDescent="0.55000000000000004">
      <c r="A15" s="3" t="s">
        <v>11</v>
      </c>
    </row>
    <row r="16" spans="1:1" ht="27.75" customHeight="1" x14ac:dyDescent="0.55000000000000004">
      <c r="A16" s="3" t="s">
        <v>12</v>
      </c>
    </row>
    <row r="17" spans="1:1" ht="27.75" customHeight="1" x14ac:dyDescent="0.55000000000000004">
      <c r="A17" s="3" t="s">
        <v>13</v>
      </c>
    </row>
    <row r="18" spans="1:1" ht="27.75" customHeight="1" x14ac:dyDescent="0.55000000000000004">
      <c r="A18" s="3" t="s">
        <v>14</v>
      </c>
    </row>
    <row r="19" spans="1:1" ht="27.75" customHeight="1" x14ac:dyDescent="0.55000000000000004">
      <c r="A19" s="3" t="s">
        <v>15</v>
      </c>
    </row>
    <row r="20" spans="1:1" ht="27.75" customHeight="1" x14ac:dyDescent="0.55000000000000004">
      <c r="A20" s="3" t="s">
        <v>16</v>
      </c>
    </row>
    <row r="21" spans="1:1" ht="15" customHeight="1" x14ac:dyDescent="0.55000000000000004">
      <c r="A21" s="3"/>
    </row>
    <row r="22" spans="1:1" ht="27.75" customHeight="1" x14ac:dyDescent="0.55000000000000004">
      <c r="A22" s="3" t="s">
        <v>17</v>
      </c>
    </row>
    <row r="23" spans="1:1" ht="15" customHeight="1" x14ac:dyDescent="0.55000000000000004">
      <c r="A23" s="3"/>
    </row>
    <row r="24" spans="1:1" ht="15" customHeight="1" x14ac:dyDescent="0.55000000000000004">
      <c r="A24" s="4" t="s">
        <v>18</v>
      </c>
    </row>
    <row r="25" spans="1:1" ht="27.75" customHeight="1" x14ac:dyDescent="0.55000000000000004">
      <c r="A25" s="3" t="s">
        <v>19</v>
      </c>
    </row>
    <row r="26" spans="1:1" ht="27.75" customHeight="1" x14ac:dyDescent="0.55000000000000004">
      <c r="A26" s="3" t="s">
        <v>20</v>
      </c>
    </row>
    <row r="27" spans="1:1" ht="15" customHeight="1" x14ac:dyDescent="0.55000000000000004">
      <c r="A27" s="3" t="s">
        <v>21</v>
      </c>
    </row>
    <row r="28" spans="1:1" ht="27.75" customHeight="1" x14ac:dyDescent="0.55000000000000004">
      <c r="A28" s="3" t="s">
        <v>22</v>
      </c>
    </row>
    <row r="29" spans="1:1" ht="27.75" customHeight="1" x14ac:dyDescent="0.55000000000000004">
      <c r="A29" s="3" t="s">
        <v>23</v>
      </c>
    </row>
    <row r="30" spans="1:1" ht="15" customHeight="1" x14ac:dyDescent="0.55000000000000004">
      <c r="A30" s="3" t="s">
        <v>24</v>
      </c>
    </row>
    <row r="31" spans="1:1" ht="27.75" customHeight="1" x14ac:dyDescent="0.55000000000000004">
      <c r="A31" s="3" t="s">
        <v>25</v>
      </c>
    </row>
    <row r="32" spans="1:1" ht="27.75" customHeight="1" x14ac:dyDescent="0.55000000000000004">
      <c r="A32" s="3" t="s">
        <v>26</v>
      </c>
    </row>
    <row r="33" spans="1:1" ht="27.75" customHeight="1" x14ac:dyDescent="0.55000000000000004">
      <c r="A33" s="3" t="s">
        <v>27</v>
      </c>
    </row>
    <row r="34" spans="1:1" ht="27.75" customHeight="1" x14ac:dyDescent="0.55000000000000004">
      <c r="A34" s="3" t="s">
        <v>28</v>
      </c>
    </row>
    <row r="35" spans="1:1" ht="27.75" customHeight="1" x14ac:dyDescent="0.55000000000000004">
      <c r="A35" s="3" t="s">
        <v>29</v>
      </c>
    </row>
    <row r="36" spans="1:1" ht="27.75" customHeight="1" x14ac:dyDescent="0.55000000000000004">
      <c r="A36" s="3" t="s">
        <v>30</v>
      </c>
    </row>
    <row r="38" spans="1:1" ht="19.5" customHeight="1" x14ac:dyDescent="0.55000000000000004">
      <c r="A38" s="5" t="s">
        <v>31</v>
      </c>
    </row>
    <row r="39" spans="1:1" ht="60" customHeight="1" x14ac:dyDescent="0.55000000000000004">
      <c r="A39" s="6" t="s">
        <v>32</v>
      </c>
    </row>
    <row r="41" spans="1:1" ht="25.8" x14ac:dyDescent="0.55000000000000004">
      <c r="A41" s="54" t="s">
        <v>33</v>
      </c>
    </row>
    <row r="43" spans="1:1" ht="46.8" x14ac:dyDescent="0.55000000000000004">
      <c r="A43" s="42" t="s">
        <v>34</v>
      </c>
    </row>
    <row r="45" spans="1:1" ht="51.6" x14ac:dyDescent="0.55000000000000004">
      <c r="A45" s="54" t="s">
        <v>35</v>
      </c>
    </row>
    <row r="47" spans="1:1" ht="72" x14ac:dyDescent="0.55000000000000004">
      <c r="A47" s="61" t="s">
        <v>36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I151"/>
  <sheetViews>
    <sheetView topLeftCell="A85" zoomScaleNormal="100" workbookViewId="0">
      <selection activeCell="E103" sqref="E103"/>
    </sheetView>
  </sheetViews>
  <sheetFormatPr defaultColWidth="8.68359375" defaultRowHeight="14.4" x14ac:dyDescent="0.55000000000000004"/>
  <cols>
    <col min="1" max="1" width="52" customWidth="1"/>
    <col min="2" max="2" width="18" customWidth="1"/>
    <col min="3" max="5" width="14" customWidth="1"/>
    <col min="6" max="6" width="12" customWidth="1"/>
    <col min="7" max="9" width="14" customWidth="1"/>
  </cols>
  <sheetData>
    <row r="1" spans="1:9" ht="27.75" customHeight="1" x14ac:dyDescent="0.55000000000000004">
      <c r="A1" s="71" t="s">
        <v>37</v>
      </c>
      <c r="B1" s="63"/>
      <c r="C1" s="63"/>
      <c r="D1" s="63"/>
      <c r="E1" s="63"/>
      <c r="F1" s="63"/>
      <c r="G1" s="63"/>
      <c r="H1" s="63"/>
      <c r="I1" s="63"/>
    </row>
    <row r="2" spans="1:9" ht="12" customHeight="1" x14ac:dyDescent="0.55000000000000004">
      <c r="A2" s="66" t="s">
        <v>38</v>
      </c>
      <c r="B2" s="63"/>
      <c r="C2" s="63"/>
      <c r="D2" s="63"/>
      <c r="E2" s="63"/>
      <c r="F2" s="63"/>
      <c r="G2" s="63"/>
      <c r="H2" s="63"/>
      <c r="I2" s="63"/>
    </row>
    <row r="4" spans="1:9" ht="18" customHeight="1" x14ac:dyDescent="0.55000000000000004">
      <c r="A4" s="62" t="s">
        <v>39</v>
      </c>
      <c r="B4" s="63"/>
      <c r="C4" s="63"/>
      <c r="D4" s="63"/>
      <c r="E4" s="63"/>
      <c r="F4" s="63"/>
      <c r="G4" s="63"/>
      <c r="H4" s="63"/>
      <c r="I4" s="63"/>
    </row>
    <row r="5" spans="1:9" ht="15" customHeight="1" x14ac:dyDescent="0.55000000000000004">
      <c r="A5" s="7" t="s">
        <v>40</v>
      </c>
      <c r="B5" s="44" t="s">
        <v>41</v>
      </c>
    </row>
    <row r="6" spans="1:9" ht="15" customHeight="1" x14ac:dyDescent="0.55000000000000004">
      <c r="A6" s="7" t="s">
        <v>42</v>
      </c>
      <c r="B6" s="44" t="s">
        <v>43</v>
      </c>
    </row>
    <row r="7" spans="1:9" ht="23.25" customHeight="1" x14ac:dyDescent="0.55000000000000004">
      <c r="A7" s="7" t="s">
        <v>44</v>
      </c>
      <c r="B7" s="44" t="s">
        <v>45</v>
      </c>
    </row>
    <row r="8" spans="1:9" ht="23.25" customHeight="1" x14ac:dyDescent="0.55000000000000004">
      <c r="A8" s="7" t="s">
        <v>46</v>
      </c>
      <c r="B8" s="41"/>
    </row>
    <row r="9" spans="1:9" ht="15" customHeight="1" x14ac:dyDescent="0.55000000000000004">
      <c r="A9" s="7" t="s">
        <v>47</v>
      </c>
      <c r="B9" s="8" t="str">
        <f>IF(B7="Wind","Set W",IF(B7="Solar PV","Set S",IF(B7="Solar + Wind Hybrid","Set H","CHECK B7")))</f>
        <v>Set W</v>
      </c>
    </row>
    <row r="10" spans="1:9" ht="23.25" customHeight="1" x14ac:dyDescent="0.55000000000000004">
      <c r="A10" s="7" t="s">
        <v>48</v>
      </c>
      <c r="B10" s="8">
        <f>IF(B8&gt;0.25,0.2,0)</f>
        <v>0</v>
      </c>
    </row>
    <row r="11" spans="1:9" ht="27.75" customHeight="1" x14ac:dyDescent="0.55000000000000004">
      <c r="A11" s="67" t="s">
        <v>49</v>
      </c>
      <c r="B11" s="63"/>
      <c r="C11" s="63"/>
      <c r="D11" s="63"/>
      <c r="E11" s="63"/>
      <c r="F11" s="63"/>
      <c r="G11" s="63"/>
      <c r="H11" s="63"/>
      <c r="I11" s="63"/>
    </row>
    <row r="12" spans="1:9" ht="6" customHeight="1" x14ac:dyDescent="0.55000000000000004"/>
    <row r="13" spans="1:9" ht="18" customHeight="1" x14ac:dyDescent="0.55000000000000004">
      <c r="A13" s="62" t="s">
        <v>50</v>
      </c>
      <c r="B13" s="63"/>
      <c r="C13" s="63"/>
      <c r="D13" s="63"/>
      <c r="E13" s="63"/>
      <c r="F13" s="63"/>
      <c r="G13" s="63"/>
      <c r="H13" s="63"/>
      <c r="I13" s="63"/>
    </row>
    <row r="14" spans="1:9" ht="15.75" customHeight="1" x14ac:dyDescent="0.55000000000000004">
      <c r="A14" s="65" t="s">
        <v>51</v>
      </c>
      <c r="B14" s="63"/>
      <c r="C14" s="63"/>
      <c r="D14" s="63"/>
      <c r="E14" s="63"/>
      <c r="F14" s="63"/>
      <c r="G14" s="63"/>
      <c r="H14" s="63"/>
      <c r="I14" s="63"/>
    </row>
    <row r="15" spans="1:9" ht="43.2" x14ac:dyDescent="0.55000000000000004">
      <c r="A15" s="9" t="s">
        <v>52</v>
      </c>
      <c r="B15" s="9" t="s">
        <v>53</v>
      </c>
      <c r="C15" s="9" t="s">
        <v>54</v>
      </c>
      <c r="D15" s="9" t="s">
        <v>55</v>
      </c>
      <c r="E15" s="9" t="s">
        <v>56</v>
      </c>
      <c r="F15" s="9" t="s">
        <v>57</v>
      </c>
      <c r="H15" s="45" t="s">
        <v>329</v>
      </c>
      <c r="I15" s="45" t="s">
        <v>58</v>
      </c>
    </row>
    <row r="16" spans="1:9" ht="13.5" customHeight="1" x14ac:dyDescent="0.55000000000000004">
      <c r="A16" s="7" t="s">
        <v>59</v>
      </c>
      <c r="B16" s="44">
        <v>3869.38</v>
      </c>
      <c r="C16" s="44">
        <v>1960</v>
      </c>
      <c r="D16" s="44">
        <v>927.6</v>
      </c>
      <c r="E16" s="8">
        <f t="shared" ref="E16:E45" si="0">IF(COUNT(C16:D16)=0,"",C16+D16)</f>
        <v>2887.6</v>
      </c>
      <c r="F16" s="10">
        <f t="shared" ref="F16:F45" si="1">IF(OR(E16="",E16=0),"",B16/E16)</f>
        <v>1.3399986147665883</v>
      </c>
      <c r="H16" s="46"/>
      <c r="I16" s="47" t="str">
        <f t="shared" ref="I16:I45" si="2">IF(OR(B16="",H16=""),"",ABS(H16-B16)/B16)</f>
        <v/>
      </c>
    </row>
    <row r="17" spans="1:9" ht="13.5" customHeight="1" x14ac:dyDescent="0.55000000000000004">
      <c r="A17" s="7" t="s">
        <v>60</v>
      </c>
      <c r="B17" s="44">
        <v>4107.3999999999996</v>
      </c>
      <c r="C17" s="44">
        <v>1869.1</v>
      </c>
      <c r="D17" s="44">
        <v>983.26</v>
      </c>
      <c r="E17" s="8">
        <f t="shared" si="0"/>
        <v>2852.3599999999997</v>
      </c>
      <c r="F17" s="10">
        <f t="shared" si="1"/>
        <v>1.4400005609390119</v>
      </c>
      <c r="H17" s="46"/>
      <c r="I17" s="47" t="str">
        <f t="shared" si="2"/>
        <v/>
      </c>
    </row>
    <row r="18" spans="1:9" ht="13.5" customHeight="1" x14ac:dyDescent="0.55000000000000004">
      <c r="A18" s="7" t="s">
        <v>61</v>
      </c>
      <c r="B18" s="44">
        <v>4096.57</v>
      </c>
      <c r="C18" s="44">
        <v>1772.74</v>
      </c>
      <c r="D18" s="44">
        <v>1038.9100000000001</v>
      </c>
      <c r="E18" s="8">
        <f t="shared" si="0"/>
        <v>2811.65</v>
      </c>
      <c r="F18" s="10">
        <f t="shared" si="1"/>
        <v>1.4569985595646682</v>
      </c>
      <c r="H18" s="46"/>
      <c r="I18" s="47" t="str">
        <f t="shared" si="2"/>
        <v/>
      </c>
    </row>
    <row r="19" spans="1:9" ht="13.5" customHeight="1" x14ac:dyDescent="0.55000000000000004">
      <c r="A19" s="7" t="s">
        <v>62</v>
      </c>
      <c r="B19" s="44">
        <v>4076.33</v>
      </c>
      <c r="C19" s="44">
        <v>1670.92</v>
      </c>
      <c r="D19" s="44">
        <v>1094.57</v>
      </c>
      <c r="E19" s="8">
        <f t="shared" si="0"/>
        <v>2765.49</v>
      </c>
      <c r="F19" s="10">
        <f t="shared" si="1"/>
        <v>1.4739991827849677</v>
      </c>
      <c r="H19" s="46"/>
      <c r="I19" s="47" t="str">
        <f t="shared" si="2"/>
        <v/>
      </c>
    </row>
    <row r="20" spans="1:9" ht="13.5" customHeight="1" x14ac:dyDescent="0.55000000000000004">
      <c r="A20" s="7" t="s">
        <v>63</v>
      </c>
      <c r="B20" s="44">
        <v>4046.4</v>
      </c>
      <c r="C20" s="44">
        <v>1563.65</v>
      </c>
      <c r="D20" s="44">
        <v>1150.23</v>
      </c>
      <c r="E20" s="8">
        <f t="shared" si="0"/>
        <v>2713.88</v>
      </c>
      <c r="F20" s="10">
        <f t="shared" si="1"/>
        <v>1.4910018129025602</v>
      </c>
      <c r="H20" s="46"/>
      <c r="I20" s="47" t="str">
        <f t="shared" si="2"/>
        <v/>
      </c>
    </row>
    <row r="21" spans="1:9" ht="13.5" customHeight="1" x14ac:dyDescent="0.55000000000000004">
      <c r="A21" s="7" t="s">
        <v>64</v>
      </c>
      <c r="B21" s="44">
        <v>4006.47</v>
      </c>
      <c r="C21" s="44">
        <v>1450.93</v>
      </c>
      <c r="D21" s="44">
        <v>1205.8800000000001</v>
      </c>
      <c r="E21" s="8">
        <f t="shared" si="0"/>
        <v>2656.8100000000004</v>
      </c>
      <c r="F21" s="10">
        <f t="shared" si="1"/>
        <v>1.5080001957234426</v>
      </c>
      <c r="H21" s="46"/>
      <c r="I21" s="47" t="str">
        <f t="shared" si="2"/>
        <v/>
      </c>
    </row>
    <row r="22" spans="1:9" ht="13.5" customHeight="1" x14ac:dyDescent="0.55000000000000004">
      <c r="A22" s="7" t="s">
        <v>65</v>
      </c>
      <c r="B22" s="44">
        <v>3956.31</v>
      </c>
      <c r="C22" s="44">
        <v>1332.76</v>
      </c>
      <c r="D22" s="44">
        <v>1261.54</v>
      </c>
      <c r="E22" s="8">
        <f t="shared" si="0"/>
        <v>2594.3000000000002</v>
      </c>
      <c r="F22" s="10">
        <f t="shared" si="1"/>
        <v>1.5250009636510811</v>
      </c>
      <c r="H22" s="46"/>
      <c r="I22" s="47" t="str">
        <f t="shared" si="2"/>
        <v/>
      </c>
    </row>
    <row r="23" spans="1:9" ht="13.5" customHeight="1" x14ac:dyDescent="0.55000000000000004">
      <c r="A23" s="7" t="s">
        <v>66</v>
      </c>
      <c r="B23" s="44">
        <v>3895.57</v>
      </c>
      <c r="C23" s="44">
        <v>1209.1199999999999</v>
      </c>
      <c r="D23" s="44">
        <v>1317.19</v>
      </c>
      <c r="E23" s="8">
        <f t="shared" si="0"/>
        <v>2526.31</v>
      </c>
      <c r="F23" s="10">
        <f t="shared" si="1"/>
        <v>1.5419999920833154</v>
      </c>
      <c r="H23" s="46"/>
      <c r="I23" s="47" t="str">
        <f t="shared" si="2"/>
        <v/>
      </c>
    </row>
    <row r="24" spans="1:9" ht="13.5" customHeight="1" x14ac:dyDescent="0.55000000000000004">
      <c r="A24" s="7" t="s">
        <v>67</v>
      </c>
      <c r="B24" s="44">
        <v>3824.06</v>
      </c>
      <c r="C24" s="44">
        <v>1080.04</v>
      </c>
      <c r="D24" s="44">
        <v>1372.85</v>
      </c>
      <c r="E24" s="8">
        <f t="shared" si="0"/>
        <v>2452.89</v>
      </c>
      <c r="F24" s="10">
        <f t="shared" si="1"/>
        <v>1.5590018304938258</v>
      </c>
      <c r="H24" s="46"/>
      <c r="I24" s="47" t="str">
        <f t="shared" si="2"/>
        <v/>
      </c>
    </row>
    <row r="25" spans="1:9" ht="13.5" customHeight="1" x14ac:dyDescent="0.55000000000000004">
      <c r="A25" s="7" t="s">
        <v>68</v>
      </c>
      <c r="B25" s="44">
        <v>3741.44</v>
      </c>
      <c r="C25" s="44">
        <v>945.5</v>
      </c>
      <c r="D25" s="44">
        <v>1428.51</v>
      </c>
      <c r="E25" s="8">
        <f t="shared" si="0"/>
        <v>2374.0100000000002</v>
      </c>
      <c r="F25" s="10">
        <f t="shared" si="1"/>
        <v>1.576000101094772</v>
      </c>
      <c r="H25" s="46"/>
      <c r="I25" s="47" t="str">
        <f t="shared" si="2"/>
        <v/>
      </c>
    </row>
    <row r="26" spans="1:9" ht="13.5" customHeight="1" x14ac:dyDescent="0.55000000000000004">
      <c r="A26" s="7" t="s">
        <v>69</v>
      </c>
      <c r="B26" s="44">
        <v>3647.44</v>
      </c>
      <c r="C26" s="44">
        <v>805.51</v>
      </c>
      <c r="D26" s="44">
        <v>1484.16</v>
      </c>
      <c r="E26" s="8">
        <f t="shared" si="0"/>
        <v>2289.67</v>
      </c>
      <c r="F26" s="10">
        <f t="shared" si="1"/>
        <v>1.592998117632672</v>
      </c>
      <c r="H26" s="46"/>
      <c r="I26" s="47" t="str">
        <f t="shared" si="2"/>
        <v/>
      </c>
    </row>
    <row r="27" spans="1:9" ht="13.5" customHeight="1" x14ac:dyDescent="0.55000000000000004">
      <c r="A27" s="7" t="s">
        <v>70</v>
      </c>
      <c r="B27" s="44">
        <v>3541.81</v>
      </c>
      <c r="C27" s="44">
        <v>660.06</v>
      </c>
      <c r="D27" s="44">
        <v>1539.82</v>
      </c>
      <c r="E27" s="8">
        <f t="shared" si="0"/>
        <v>2199.88</v>
      </c>
      <c r="F27" s="10">
        <f t="shared" si="1"/>
        <v>1.6100014546247976</v>
      </c>
      <c r="H27" s="46"/>
      <c r="I27" s="47" t="str">
        <f t="shared" si="2"/>
        <v/>
      </c>
    </row>
    <row r="28" spans="1:9" ht="13.5" customHeight="1" x14ac:dyDescent="0.55000000000000004">
      <c r="A28" s="7" t="s">
        <v>71</v>
      </c>
      <c r="B28" s="44">
        <v>3424.25</v>
      </c>
      <c r="C28" s="44">
        <v>509.16</v>
      </c>
      <c r="D28" s="44">
        <v>1595.48</v>
      </c>
      <c r="E28" s="8">
        <f t="shared" si="0"/>
        <v>2104.64</v>
      </c>
      <c r="F28" s="10">
        <f t="shared" si="1"/>
        <v>1.627000342101262</v>
      </c>
      <c r="H28" s="46"/>
      <c r="I28" s="47" t="str">
        <f t="shared" si="2"/>
        <v/>
      </c>
    </row>
    <row r="29" spans="1:9" ht="13.5" customHeight="1" x14ac:dyDescent="0.55000000000000004">
      <c r="A29" s="7" t="s">
        <v>72</v>
      </c>
      <c r="B29" s="44">
        <v>6079.41</v>
      </c>
      <c r="C29" s="44">
        <v>352.8</v>
      </c>
      <c r="D29" s="44">
        <v>3600</v>
      </c>
      <c r="E29" s="8">
        <f t="shared" si="0"/>
        <v>3952.8</v>
      </c>
      <c r="F29" s="10">
        <f t="shared" si="1"/>
        <v>1.5380009107468122</v>
      </c>
      <c r="H29" s="46"/>
      <c r="I29" s="47" t="str">
        <f t="shared" si="2"/>
        <v/>
      </c>
    </row>
    <row r="30" spans="1:9" ht="13.5" customHeight="1" x14ac:dyDescent="0.55000000000000004">
      <c r="A30" s="7" t="s">
        <v>73</v>
      </c>
      <c r="B30" s="44"/>
      <c r="C30" s="44"/>
      <c r="D30" s="44"/>
      <c r="E30" s="8" t="str">
        <f t="shared" si="0"/>
        <v/>
      </c>
      <c r="F30" s="10" t="str">
        <f t="shared" si="1"/>
        <v/>
      </c>
      <c r="H30" s="46"/>
      <c r="I30" s="47" t="str">
        <f t="shared" si="2"/>
        <v/>
      </c>
    </row>
    <row r="31" spans="1:9" ht="13.5" customHeight="1" x14ac:dyDescent="0.55000000000000004">
      <c r="A31" s="7" t="s">
        <v>74</v>
      </c>
      <c r="B31" s="44"/>
      <c r="C31" s="44"/>
      <c r="D31" s="44"/>
      <c r="E31" s="8" t="str">
        <f t="shared" si="0"/>
        <v/>
      </c>
      <c r="F31" s="10" t="str">
        <f t="shared" si="1"/>
        <v/>
      </c>
      <c r="H31" s="46"/>
      <c r="I31" s="47" t="str">
        <f t="shared" si="2"/>
        <v/>
      </c>
    </row>
    <row r="32" spans="1:9" ht="13.5" customHeight="1" x14ac:dyDescent="0.55000000000000004">
      <c r="A32" s="7" t="s">
        <v>75</v>
      </c>
      <c r="B32" s="44"/>
      <c r="C32" s="44"/>
      <c r="D32" s="44"/>
      <c r="E32" s="8" t="str">
        <f t="shared" si="0"/>
        <v/>
      </c>
      <c r="F32" s="10" t="str">
        <f t="shared" si="1"/>
        <v/>
      </c>
      <c r="H32" s="46"/>
      <c r="I32" s="47" t="str">
        <f t="shared" si="2"/>
        <v/>
      </c>
    </row>
    <row r="33" spans="1:9" ht="13.5" customHeight="1" x14ac:dyDescent="0.55000000000000004">
      <c r="A33" s="7" t="s">
        <v>76</v>
      </c>
      <c r="B33" s="44"/>
      <c r="C33" s="44"/>
      <c r="D33" s="44"/>
      <c r="E33" s="8" t="str">
        <f t="shared" si="0"/>
        <v/>
      </c>
      <c r="F33" s="10" t="str">
        <f t="shared" si="1"/>
        <v/>
      </c>
      <c r="H33" s="46"/>
      <c r="I33" s="47" t="str">
        <f t="shared" si="2"/>
        <v/>
      </c>
    </row>
    <row r="34" spans="1:9" ht="13.5" customHeight="1" x14ac:dyDescent="0.55000000000000004">
      <c r="A34" s="7" t="s">
        <v>77</v>
      </c>
      <c r="B34" s="44"/>
      <c r="C34" s="44"/>
      <c r="D34" s="44"/>
      <c r="E34" s="8" t="str">
        <f t="shared" si="0"/>
        <v/>
      </c>
      <c r="F34" s="10" t="str">
        <f t="shared" si="1"/>
        <v/>
      </c>
      <c r="H34" s="46"/>
      <c r="I34" s="47" t="str">
        <f t="shared" si="2"/>
        <v/>
      </c>
    </row>
    <row r="35" spans="1:9" ht="13.5" customHeight="1" x14ac:dyDescent="0.55000000000000004">
      <c r="A35" s="7" t="s">
        <v>78</v>
      </c>
      <c r="B35" s="44"/>
      <c r="C35" s="44"/>
      <c r="D35" s="44"/>
      <c r="E35" s="8" t="str">
        <f t="shared" si="0"/>
        <v/>
      </c>
      <c r="F35" s="10" t="str">
        <f t="shared" si="1"/>
        <v/>
      </c>
      <c r="H35" s="46"/>
      <c r="I35" s="47" t="str">
        <f t="shared" si="2"/>
        <v/>
      </c>
    </row>
    <row r="36" spans="1:9" ht="13.5" customHeight="1" x14ac:dyDescent="0.55000000000000004">
      <c r="A36" s="7" t="s">
        <v>79</v>
      </c>
      <c r="B36" s="44"/>
      <c r="C36" s="44"/>
      <c r="D36" s="44"/>
      <c r="E36" s="8" t="str">
        <f t="shared" si="0"/>
        <v/>
      </c>
      <c r="F36" s="10" t="str">
        <f t="shared" si="1"/>
        <v/>
      </c>
      <c r="H36" s="46"/>
      <c r="I36" s="47" t="str">
        <f t="shared" si="2"/>
        <v/>
      </c>
    </row>
    <row r="37" spans="1:9" ht="13.5" customHeight="1" x14ac:dyDescent="0.55000000000000004">
      <c r="A37" s="7" t="s">
        <v>80</v>
      </c>
      <c r="B37" s="44"/>
      <c r="C37" s="44"/>
      <c r="D37" s="44"/>
      <c r="E37" s="8" t="str">
        <f t="shared" si="0"/>
        <v/>
      </c>
      <c r="F37" s="10" t="str">
        <f t="shared" si="1"/>
        <v/>
      </c>
      <c r="H37" s="46"/>
      <c r="I37" s="47" t="str">
        <f t="shared" si="2"/>
        <v/>
      </c>
    </row>
    <row r="38" spans="1:9" ht="13.5" customHeight="1" x14ac:dyDescent="0.55000000000000004">
      <c r="A38" s="7" t="s">
        <v>81</v>
      </c>
      <c r="B38" s="44"/>
      <c r="C38" s="44"/>
      <c r="D38" s="44"/>
      <c r="E38" s="8" t="str">
        <f t="shared" si="0"/>
        <v/>
      </c>
      <c r="F38" s="10" t="str">
        <f t="shared" si="1"/>
        <v/>
      </c>
      <c r="H38" s="46"/>
      <c r="I38" s="47" t="str">
        <f t="shared" si="2"/>
        <v/>
      </c>
    </row>
    <row r="39" spans="1:9" ht="13.5" customHeight="1" x14ac:dyDescent="0.55000000000000004">
      <c r="A39" s="7" t="s">
        <v>82</v>
      </c>
      <c r="B39" s="44"/>
      <c r="C39" s="44"/>
      <c r="D39" s="44"/>
      <c r="E39" s="8" t="str">
        <f t="shared" si="0"/>
        <v/>
      </c>
      <c r="F39" s="10" t="str">
        <f t="shared" si="1"/>
        <v/>
      </c>
      <c r="H39" s="46"/>
      <c r="I39" s="47" t="str">
        <f t="shared" si="2"/>
        <v/>
      </c>
    </row>
    <row r="40" spans="1:9" ht="13.5" customHeight="1" x14ac:dyDescent="0.55000000000000004">
      <c r="A40" s="7" t="s">
        <v>83</v>
      </c>
      <c r="B40" s="44"/>
      <c r="C40" s="44"/>
      <c r="D40" s="44"/>
      <c r="E40" s="8" t="str">
        <f t="shared" si="0"/>
        <v/>
      </c>
      <c r="F40" s="10" t="str">
        <f t="shared" si="1"/>
        <v/>
      </c>
      <c r="H40" s="46"/>
      <c r="I40" s="47" t="str">
        <f t="shared" si="2"/>
        <v/>
      </c>
    </row>
    <row r="41" spans="1:9" ht="13.5" customHeight="1" x14ac:dyDescent="0.55000000000000004">
      <c r="A41" s="7" t="s">
        <v>84</v>
      </c>
      <c r="B41" s="44"/>
      <c r="C41" s="44"/>
      <c r="D41" s="44"/>
      <c r="E41" s="8" t="str">
        <f t="shared" si="0"/>
        <v/>
      </c>
      <c r="F41" s="10" t="str">
        <f t="shared" si="1"/>
        <v/>
      </c>
      <c r="H41" s="46"/>
      <c r="I41" s="47" t="str">
        <f t="shared" si="2"/>
        <v/>
      </c>
    </row>
    <row r="42" spans="1:9" ht="13.5" customHeight="1" x14ac:dyDescent="0.55000000000000004">
      <c r="A42" s="7" t="s">
        <v>85</v>
      </c>
      <c r="B42" s="44"/>
      <c r="C42" s="44"/>
      <c r="D42" s="44"/>
      <c r="E42" s="8" t="str">
        <f t="shared" si="0"/>
        <v/>
      </c>
      <c r="F42" s="10" t="str">
        <f t="shared" si="1"/>
        <v/>
      </c>
      <c r="H42" s="46"/>
      <c r="I42" s="47" t="str">
        <f t="shared" si="2"/>
        <v/>
      </c>
    </row>
    <row r="43" spans="1:9" ht="13.5" customHeight="1" x14ac:dyDescent="0.55000000000000004">
      <c r="A43" s="7" t="s">
        <v>86</v>
      </c>
      <c r="B43" s="44"/>
      <c r="C43" s="44"/>
      <c r="D43" s="44"/>
      <c r="E43" s="8" t="str">
        <f t="shared" si="0"/>
        <v/>
      </c>
      <c r="F43" s="10" t="str">
        <f t="shared" si="1"/>
        <v/>
      </c>
      <c r="H43" s="46"/>
      <c r="I43" s="47" t="str">
        <f t="shared" si="2"/>
        <v/>
      </c>
    </row>
    <row r="44" spans="1:9" ht="13.5" customHeight="1" x14ac:dyDescent="0.55000000000000004">
      <c r="A44" s="7" t="s">
        <v>87</v>
      </c>
      <c r="B44" s="44"/>
      <c r="C44" s="44"/>
      <c r="D44" s="44"/>
      <c r="E44" s="8" t="str">
        <f t="shared" si="0"/>
        <v/>
      </c>
      <c r="F44" s="10" t="str">
        <f t="shared" si="1"/>
        <v/>
      </c>
      <c r="H44" s="46"/>
      <c r="I44" s="47" t="str">
        <f t="shared" si="2"/>
        <v/>
      </c>
    </row>
    <row r="45" spans="1:9" ht="13.5" customHeight="1" x14ac:dyDescent="0.55000000000000004">
      <c r="A45" s="7" t="s">
        <v>88</v>
      </c>
      <c r="B45" s="44"/>
      <c r="C45" s="44"/>
      <c r="D45" s="44"/>
      <c r="E45" s="8" t="str">
        <f t="shared" si="0"/>
        <v/>
      </c>
      <c r="F45" s="10" t="str">
        <f t="shared" si="1"/>
        <v/>
      </c>
      <c r="H45" s="46"/>
      <c r="I45" s="47" t="str">
        <f t="shared" si="2"/>
        <v/>
      </c>
    </row>
    <row r="46" spans="1:9" ht="6" customHeight="1" x14ac:dyDescent="0.55000000000000004"/>
    <row r="47" spans="1:9" ht="15.75" customHeight="1" x14ac:dyDescent="0.55000000000000004">
      <c r="A47" s="65" t="s">
        <v>89</v>
      </c>
      <c r="B47" s="63"/>
      <c r="C47" s="63"/>
      <c r="D47" s="63"/>
      <c r="E47" s="63"/>
      <c r="F47" s="63"/>
      <c r="G47" s="63"/>
      <c r="H47" s="63"/>
      <c r="I47" s="63"/>
    </row>
    <row r="48" spans="1:9" ht="15" customHeight="1" x14ac:dyDescent="0.55000000000000004">
      <c r="A48" s="11" t="s">
        <v>90</v>
      </c>
      <c r="B48" s="12">
        <f>IF(COUNT(F16:F45)=0,"",MIN(F16:F45))</f>
        <v>1.3399986147665883</v>
      </c>
    </row>
    <row r="49" spans="1:9" ht="23.25" customHeight="1" x14ac:dyDescent="0.55000000000000004">
      <c r="A49" s="11" t="s">
        <v>91</v>
      </c>
      <c r="B49" s="12">
        <f>IF(COUNT(F16:F45)=0,"",AVERAGE(F16:F45))</f>
        <v>1.5200001885078414</v>
      </c>
    </row>
    <row r="50" spans="1:9" ht="15" customHeight="1" x14ac:dyDescent="0.55000000000000004">
      <c r="A50" s="7" t="s">
        <v>92</v>
      </c>
      <c r="B50" s="13">
        <f>COUNT(F16:F45)</f>
        <v>14</v>
      </c>
    </row>
    <row r="51" spans="1:9" ht="27.75" customHeight="1" x14ac:dyDescent="0.55000000000000004">
      <c r="A51" s="64" t="s">
        <v>93</v>
      </c>
      <c r="B51" s="63"/>
      <c r="C51" s="63"/>
      <c r="D51" s="63"/>
      <c r="E51" s="63"/>
      <c r="F51" s="63"/>
      <c r="G51" s="63"/>
      <c r="H51" s="63"/>
      <c r="I51" s="63"/>
    </row>
    <row r="52" spans="1:9" ht="6" customHeight="1" x14ac:dyDescent="0.55000000000000004"/>
    <row r="53" spans="1:9" ht="15.75" customHeight="1" x14ac:dyDescent="0.55000000000000004">
      <c r="A53" s="65" t="s">
        <v>94</v>
      </c>
      <c r="B53" s="63"/>
      <c r="C53" s="63"/>
      <c r="D53" s="63"/>
      <c r="E53" s="63"/>
      <c r="F53" s="63"/>
      <c r="G53" s="63"/>
      <c r="H53" s="63"/>
      <c r="I53" s="63"/>
    </row>
    <row r="54" spans="1:9" ht="28.8" x14ac:dyDescent="0.55000000000000004">
      <c r="A54" s="43" t="s">
        <v>95</v>
      </c>
      <c r="B54" s="48">
        <v>0.31</v>
      </c>
    </row>
    <row r="55" spans="1:9" ht="28.8" x14ac:dyDescent="0.55000000000000004">
      <c r="A55" s="43" t="s">
        <v>96</v>
      </c>
      <c r="B55" s="44" t="s">
        <v>97</v>
      </c>
    </row>
    <row r="56" spans="1:9" ht="28.8" x14ac:dyDescent="0.55000000000000004">
      <c r="A56" s="43" t="s">
        <v>98</v>
      </c>
      <c r="B56" s="44" t="s">
        <v>99</v>
      </c>
    </row>
    <row r="57" spans="1:9" ht="28.8" x14ac:dyDescent="0.55000000000000004">
      <c r="A57" s="43" t="s">
        <v>100</v>
      </c>
      <c r="B57" s="44" t="s">
        <v>101</v>
      </c>
    </row>
    <row r="58" spans="1:9" ht="15" customHeight="1" x14ac:dyDescent="0.55000000000000004">
      <c r="A58" s="11" t="s">
        <v>102</v>
      </c>
      <c r="B58" s="8" t="str">
        <f>IF(OR(B54="",B55="",B56="",B57=""),"MISSING — Block B cannot be scored; all four attestation fields are critical (CORE Section 9.8.1)",IF(B55&lt;&gt;"Attested as P90","INVALID — the only permitted basis is 'Attested as P90'; CORE v3.0 withdrew the derivation route (Section 9.5)","Satisfied"))</f>
        <v>Satisfied</v>
      </c>
    </row>
    <row r="59" spans="1:9" ht="27.75" customHeight="1" x14ac:dyDescent="0.55000000000000004">
      <c r="A59" s="67" t="s">
        <v>103</v>
      </c>
      <c r="B59" s="63"/>
      <c r="C59" s="63"/>
      <c r="D59" s="63"/>
      <c r="E59" s="63"/>
      <c r="F59" s="63"/>
      <c r="G59" s="63"/>
      <c r="H59" s="63"/>
      <c r="I59" s="63"/>
    </row>
    <row r="60" spans="1:9" ht="6" customHeight="1" x14ac:dyDescent="0.55000000000000004"/>
    <row r="61" spans="1:9" ht="15.75" customHeight="1" x14ac:dyDescent="0.55000000000000004">
      <c r="A61" s="65" t="s">
        <v>104</v>
      </c>
      <c r="B61" s="63"/>
      <c r="C61" s="63"/>
      <c r="D61" s="63"/>
      <c r="E61" s="63"/>
      <c r="F61" s="63"/>
      <c r="G61" s="63"/>
      <c r="H61" s="63"/>
      <c r="I61" s="63"/>
    </row>
    <row r="62" spans="1:9" ht="27.75" customHeight="1" x14ac:dyDescent="0.55000000000000004">
      <c r="A62" s="67" t="s">
        <v>105</v>
      </c>
      <c r="B62" s="63"/>
      <c r="C62" s="63"/>
      <c r="D62" s="63"/>
      <c r="E62" s="63"/>
      <c r="F62" s="63"/>
      <c r="G62" s="63"/>
      <c r="H62" s="63"/>
      <c r="I62" s="63"/>
    </row>
    <row r="63" spans="1:9" ht="24.6" x14ac:dyDescent="0.55000000000000004">
      <c r="A63" s="9" t="s">
        <v>106</v>
      </c>
      <c r="B63" s="9" t="s">
        <v>107</v>
      </c>
      <c r="C63" s="9" t="s">
        <v>108</v>
      </c>
      <c r="D63" s="9" t="s">
        <v>109</v>
      </c>
      <c r="E63" s="49" t="s">
        <v>110</v>
      </c>
    </row>
    <row r="64" spans="1:9" ht="24.6" x14ac:dyDescent="0.55000000000000004">
      <c r="A64" s="7" t="s">
        <v>111</v>
      </c>
      <c r="B64" s="8">
        <f>IF(COUNT(B16:B45)=0,"",SUM(B16:B45))</f>
        <v>56312.84</v>
      </c>
      <c r="C64" s="55" t="str">
        <f>IF(COUNT(H16:H45)=0,"",SUM(H16:H45))</f>
        <v/>
      </c>
      <c r="D64" s="14" t="str">
        <f>IF(COUNT(I16:I45)=0,"",MAX(I16:I45))</f>
        <v/>
      </c>
    </row>
    <row r="65" spans="1:9" ht="15" customHeight="1" x14ac:dyDescent="0.55000000000000004">
      <c r="A65" s="7" t="s">
        <v>112</v>
      </c>
      <c r="B65" s="8" t="str">
        <f>IF(COUNT(H16:H45)=0,"Not applicable — single route used",IF(D64&lt;=0.02,"Within 2% in every period","BLOCK — at least one period exceeds 2% (CORE Section 10.1 V6)"))</f>
        <v>Not applicable — single route used</v>
      </c>
    </row>
    <row r="66" spans="1:9" ht="6" customHeight="1" x14ac:dyDescent="0.55000000000000004"/>
    <row r="67" spans="1:9" ht="15.75" customHeight="1" x14ac:dyDescent="0.55000000000000004">
      <c r="A67" s="65" t="s">
        <v>113</v>
      </c>
      <c r="B67" s="63"/>
      <c r="C67" s="63"/>
      <c r="D67" s="63"/>
      <c r="E67" s="63"/>
      <c r="F67" s="63"/>
      <c r="G67" s="63"/>
      <c r="H67" s="63"/>
      <c r="I67" s="63"/>
    </row>
    <row r="68" spans="1:9" ht="15" customHeight="1" x14ac:dyDescent="0.55000000000000004">
      <c r="A68" s="7" t="s">
        <v>114</v>
      </c>
      <c r="B68" s="44">
        <v>38000</v>
      </c>
    </row>
    <row r="69" spans="1:9" ht="15" customHeight="1" x14ac:dyDescent="0.55000000000000004">
      <c r="A69" s="7" t="s">
        <v>115</v>
      </c>
      <c r="B69" s="44">
        <v>29500</v>
      </c>
    </row>
    <row r="70" spans="1:9" ht="23.25" customHeight="1" x14ac:dyDescent="0.55000000000000004">
      <c r="A70" s="7" t="s">
        <v>116</v>
      </c>
      <c r="B70" s="50">
        <v>9.8000000000000004E-2</v>
      </c>
    </row>
    <row r="71" spans="1:9" ht="15" customHeight="1" x14ac:dyDescent="0.55000000000000004">
      <c r="A71" s="7" t="s">
        <v>117</v>
      </c>
      <c r="B71" s="44" t="s">
        <v>118</v>
      </c>
    </row>
    <row r="72" spans="1:9" ht="15" customHeight="1" x14ac:dyDescent="0.55000000000000004">
      <c r="A72" s="7" t="s">
        <v>119</v>
      </c>
      <c r="B72" s="44">
        <v>19</v>
      </c>
    </row>
    <row r="73" spans="1:9" ht="15" customHeight="1" x14ac:dyDescent="0.55000000000000004">
      <c r="A73" s="7" t="s">
        <v>120</v>
      </c>
      <c r="B73" s="44">
        <v>14</v>
      </c>
    </row>
    <row r="74" spans="1:9" ht="23.25" customHeight="1" x14ac:dyDescent="0.55000000000000004">
      <c r="A74" s="7" t="s">
        <v>121</v>
      </c>
      <c r="B74" s="44">
        <v>22500</v>
      </c>
    </row>
    <row r="75" spans="1:9" ht="27.75" customHeight="1" x14ac:dyDescent="0.55000000000000004">
      <c r="A75" s="64" t="s">
        <v>122</v>
      </c>
      <c r="B75" s="63"/>
      <c r="C75" s="63"/>
      <c r="D75" s="63"/>
      <c r="E75" s="63"/>
      <c r="F75" s="63"/>
      <c r="G75" s="63"/>
      <c r="H75" s="63"/>
      <c r="I75" s="63"/>
    </row>
    <row r="76" spans="1:9" ht="23.25" customHeight="1" x14ac:dyDescent="0.55000000000000004">
      <c r="A76" s="7" t="s">
        <v>123</v>
      </c>
      <c r="B76" s="8">
        <f>B130</f>
        <v>1600</v>
      </c>
    </row>
    <row r="77" spans="1:9" ht="15" customHeight="1" x14ac:dyDescent="0.55000000000000004">
      <c r="A77" s="11" t="s">
        <v>124</v>
      </c>
      <c r="B77" s="12">
        <f>IF(OR(B74="",B74=0),"",(B68+B76)/B74)</f>
        <v>1.76</v>
      </c>
    </row>
    <row r="78" spans="1:9" ht="15" customHeight="1" x14ac:dyDescent="0.55000000000000004">
      <c r="A78" s="11" t="s">
        <v>125</v>
      </c>
      <c r="B78" s="12">
        <f>IF(OR(B74="",B74=0),"",(B69+B76)/B74)</f>
        <v>1.3822222222222222</v>
      </c>
    </row>
    <row r="79" spans="1:9" ht="27.75" customHeight="1" x14ac:dyDescent="0.55000000000000004">
      <c r="A79" s="64" t="s">
        <v>126</v>
      </c>
      <c r="B79" s="63"/>
      <c r="C79" s="63"/>
      <c r="D79" s="63"/>
      <c r="E79" s="63"/>
      <c r="F79" s="63"/>
      <c r="G79" s="63"/>
      <c r="H79" s="63"/>
      <c r="I79" s="63"/>
    </row>
    <row r="80" spans="1:9" ht="6" customHeight="1" x14ac:dyDescent="0.55000000000000004"/>
    <row r="81" spans="1:9" ht="15.75" customHeight="1" x14ac:dyDescent="0.55000000000000004">
      <c r="A81" s="65" t="s">
        <v>127</v>
      </c>
      <c r="B81" s="63"/>
      <c r="C81" s="63"/>
      <c r="D81" s="63"/>
      <c r="E81" s="63"/>
      <c r="F81" s="63"/>
      <c r="G81" s="63"/>
      <c r="H81" s="63"/>
      <c r="I81" s="63"/>
    </row>
    <row r="82" spans="1:9" ht="15" customHeight="1" x14ac:dyDescent="0.55000000000000004">
      <c r="A82" s="9" t="s">
        <v>128</v>
      </c>
      <c r="B82" s="9" t="s">
        <v>129</v>
      </c>
      <c r="C82" s="9" t="s">
        <v>130</v>
      </c>
      <c r="D82" s="9" t="s">
        <v>131</v>
      </c>
      <c r="E82" s="9" t="s">
        <v>132</v>
      </c>
      <c r="F82" s="9" t="s">
        <v>133</v>
      </c>
      <c r="G82" s="9" t="s">
        <v>134</v>
      </c>
      <c r="H82" s="9" t="s">
        <v>135</v>
      </c>
      <c r="I82" s="9" t="s">
        <v>136</v>
      </c>
    </row>
    <row r="83" spans="1:9" ht="15" customHeight="1" x14ac:dyDescent="0.55000000000000004">
      <c r="A83" s="7" t="s">
        <v>137</v>
      </c>
      <c r="B83" s="12">
        <f>B48</f>
        <v>1.3399986147665883</v>
      </c>
      <c r="C83" s="8" t="str">
        <f>$B$9</f>
        <v>Set W</v>
      </c>
      <c r="D83" s="10">
        <f>IF($B$9="Set W",1.5,IF($B$9="Set S",1.4,IF($B$9="Set H",1.45,"")))+$B$10</f>
        <v>1.5</v>
      </c>
      <c r="E83" s="10">
        <f>IF($B$9="Set W",1.3,IF($B$9="Set S",1.25,IF($B$9="Set H",1.28,"")))+$B$10</f>
        <v>1.3</v>
      </c>
      <c r="F83" s="10">
        <f>IF($B$9="Set W",1.15,IF($B$9="Set S",1.12,IF($B$9="Set H",1.14,"")))+$B$10</f>
        <v>1.1499999999999999</v>
      </c>
      <c r="G83" s="10">
        <f>1+$B$10</f>
        <v>1</v>
      </c>
      <c r="H83" s="8" t="str">
        <f>IF(B83="","",IF(B83&gt;=D83,"Full",IF(B83&gt;=E83,"Strong",IF(B83&gt;=F83,"Adequate",IF(B83&gt;=G83,"Weak","Deficient")))))</f>
        <v>Strong</v>
      </c>
      <c r="I83" s="8">
        <f>IF(B83="","",IF(B83&gt;=D83,15,IF(B83&gt;=E83,11,IF(B83&gt;=F83,7,IF(B83&gt;=G83,3,0)))))</f>
        <v>11</v>
      </c>
    </row>
    <row r="84" spans="1:9" ht="15" customHeight="1" x14ac:dyDescent="0.55000000000000004">
      <c r="A84" s="7" t="s">
        <v>138</v>
      </c>
      <c r="B84" s="12">
        <f>B49</f>
        <v>1.5200001885078414</v>
      </c>
      <c r="C84" s="8" t="str">
        <f>$B$9</f>
        <v>Set W</v>
      </c>
      <c r="D84" s="10">
        <f>IF($B$9="Set W",1.7,IF($B$9="Set S",1.6,IF($B$9="Set H",1.65,"")))+$B$10</f>
        <v>1.7</v>
      </c>
      <c r="E84" s="10">
        <f>IF($B$9="Set W",1.5,IF($B$9="Set S",1.42,IF($B$9="Set H",1.46,"")))+$B$10</f>
        <v>1.5</v>
      </c>
      <c r="F84" s="10">
        <f>IF($B$9="Set W",1.3,IF($B$9="Set S",1.25,IF($B$9="Set H",1.28,"")))+$B$10</f>
        <v>1.3</v>
      </c>
      <c r="G84" s="10">
        <f>IF($B$9="Set W",1.15,IF($B$9="Set S",1.12,IF($B$9="Set H",1.14,"")))+$B$10</f>
        <v>1.1499999999999999</v>
      </c>
      <c r="H84" s="8" t="str">
        <f>IF(B84="","",IF(B84&gt;=D84,"Full",IF(B84&gt;=E84,"Strong",IF(B84&gt;=F84,"Adequate",IF(B84&gt;=G84,"Weak","Deficient")))))</f>
        <v>Strong</v>
      </c>
      <c r="I84" s="8">
        <f>IF(B84="","",IF(B84&gt;=D84,8,IF(B84&gt;=E84,6,IF(B84&gt;=F84,4,IF(B84&gt;=G84,2,0)))))</f>
        <v>6</v>
      </c>
    </row>
    <row r="85" spans="1:9" ht="15" customHeight="1" x14ac:dyDescent="0.55000000000000004">
      <c r="A85" s="7" t="s">
        <v>139</v>
      </c>
      <c r="B85" s="12">
        <f>B77</f>
        <v>1.76</v>
      </c>
      <c r="C85" s="8" t="s">
        <v>140</v>
      </c>
      <c r="D85" s="10">
        <v>2</v>
      </c>
      <c r="E85" s="10">
        <v>1.6</v>
      </c>
      <c r="F85" s="10">
        <v>1.3</v>
      </c>
      <c r="G85" s="10">
        <v>1.1000000000000001</v>
      </c>
      <c r="H85" s="8" t="str">
        <f>IF(B85="","",IF(B85&gt;=D85,"Full",IF(B85&gt;=E85,"Strong",IF(B85&gt;=F85,"Adequate",IF(B85&gt;=G85,"Weak","Deficient")))))</f>
        <v>Strong</v>
      </c>
      <c r="I85" s="8">
        <f>IF(B85="","",IF(B85&gt;=D85,6,IF(B85&gt;=E85,4.5,IF(B85&gt;=F85,3,IF(B85&gt;=G85,1.5,0)))))</f>
        <v>4.5</v>
      </c>
    </row>
    <row r="86" spans="1:9" ht="15" customHeight="1" x14ac:dyDescent="0.55000000000000004">
      <c r="A86" s="7" t="s">
        <v>141</v>
      </c>
      <c r="B86" s="12">
        <f>B78</f>
        <v>1.3822222222222222</v>
      </c>
      <c r="C86" s="8" t="s">
        <v>140</v>
      </c>
      <c r="D86" s="15">
        <v>1.8</v>
      </c>
      <c r="E86" s="15">
        <v>1.5</v>
      </c>
      <c r="F86" s="15">
        <v>1.2</v>
      </c>
      <c r="G86" s="15">
        <v>1.05</v>
      </c>
      <c r="H86" s="8" t="str">
        <f>IF(B86="","",IF(B86&gt;=D86,"Full",IF(B86&gt;=E86,"Strong",IF(B86&gt;=F86,"Adequate",IF(B86&gt;=G86,"Weak","Deficient")))))</f>
        <v>Adequate</v>
      </c>
      <c r="I86" s="8">
        <f>IF(B86="","",IF(B86&gt;=D86,6,IF(B86&gt;=E86,4.5,IF(B86&gt;=F86,3,IF(B86&gt;=G86,1.5,0)))))</f>
        <v>3</v>
      </c>
    </row>
    <row r="87" spans="1:9" ht="21.75" customHeight="1" x14ac:dyDescent="0.55000000000000004">
      <c r="A87" s="11" t="s">
        <v>142</v>
      </c>
      <c r="B87" s="16">
        <f>IF(COUNT(I83:I86)=0,"",SUM(I83:I86))</f>
        <v>24.5</v>
      </c>
      <c r="C87" s="64" t="s">
        <v>143</v>
      </c>
      <c r="D87" s="63"/>
      <c r="E87" s="63"/>
      <c r="F87" s="63"/>
      <c r="G87" s="63"/>
      <c r="H87" s="63"/>
      <c r="I87" s="63"/>
    </row>
    <row r="88" spans="1:9" ht="15" customHeight="1" x14ac:dyDescent="0.55000000000000004">
      <c r="A88" s="11" t="s">
        <v>144</v>
      </c>
      <c r="B88" s="68" t="str">
        <f>IF(B48="","",IF(B48&lt;1,"COVERAGE FLOOR TRIGGERED — final band capped at BB (CORE Section 8.3)","Coverage floor not triggered"))</f>
        <v>Coverage floor not triggered</v>
      </c>
      <c r="C88" s="69"/>
      <c r="D88" s="69"/>
      <c r="E88" s="69"/>
      <c r="F88" s="69"/>
      <c r="G88" s="69"/>
      <c r="H88" s="69"/>
      <c r="I88" s="70"/>
    </row>
    <row r="89" spans="1:9" ht="6" customHeight="1" x14ac:dyDescent="0.55000000000000004"/>
    <row r="90" spans="1:9" ht="18" customHeight="1" x14ac:dyDescent="0.55000000000000004">
      <c r="A90" s="62" t="s">
        <v>145</v>
      </c>
      <c r="B90" s="63"/>
      <c r="C90" s="63"/>
      <c r="D90" s="63"/>
      <c r="E90" s="63"/>
      <c r="F90" s="63"/>
      <c r="G90" s="63"/>
      <c r="H90" s="63"/>
      <c r="I90" s="63"/>
    </row>
    <row r="91" spans="1:9" ht="15.75" customHeight="1" x14ac:dyDescent="0.55000000000000004">
      <c r="A91" s="65" t="s">
        <v>146</v>
      </c>
      <c r="B91" s="63"/>
      <c r="C91" s="63"/>
      <c r="D91" s="63"/>
      <c r="E91" s="63"/>
      <c r="F91" s="63"/>
      <c r="G91" s="63"/>
      <c r="H91" s="63"/>
      <c r="I91" s="63"/>
    </row>
    <row r="92" spans="1:9" ht="27.75" customHeight="1" x14ac:dyDescent="0.55000000000000004">
      <c r="A92" s="67" t="s">
        <v>147</v>
      </c>
      <c r="B92" s="63"/>
      <c r="C92" s="63"/>
      <c r="D92" s="63"/>
      <c r="E92" s="63"/>
      <c r="F92" s="63"/>
      <c r="G92" s="63"/>
      <c r="H92" s="63"/>
      <c r="I92" s="63"/>
    </row>
    <row r="93" spans="1:9" ht="24.6" x14ac:dyDescent="0.55000000000000004">
      <c r="A93" s="9" t="s">
        <v>148</v>
      </c>
      <c r="B93" s="9" t="s">
        <v>149</v>
      </c>
      <c r="C93" s="9" t="s">
        <v>150</v>
      </c>
    </row>
    <row r="94" spans="1:9" ht="13.5" customHeight="1" x14ac:dyDescent="0.55000000000000004">
      <c r="A94" s="7" t="s">
        <v>151</v>
      </c>
      <c r="B94" s="44">
        <v>20000</v>
      </c>
      <c r="C94" s="51" t="s">
        <v>152</v>
      </c>
    </row>
    <row r="95" spans="1:9" ht="13.5" customHeight="1" x14ac:dyDescent="0.55000000000000004">
      <c r="A95" s="7" t="s">
        <v>153</v>
      </c>
      <c r="B95" s="44">
        <v>1500</v>
      </c>
      <c r="C95" s="51" t="s">
        <v>152</v>
      </c>
    </row>
    <row r="96" spans="1:9" ht="13.5" customHeight="1" x14ac:dyDescent="0.55000000000000004">
      <c r="A96" s="7" t="s">
        <v>154</v>
      </c>
      <c r="B96" s="44">
        <v>1000</v>
      </c>
      <c r="C96" s="51" t="s">
        <v>155</v>
      </c>
    </row>
    <row r="97" spans="1:9" ht="13.5" customHeight="1" x14ac:dyDescent="0.55000000000000004">
      <c r="A97" s="7" t="s">
        <v>156</v>
      </c>
      <c r="B97" s="44"/>
      <c r="C97" s="51"/>
    </row>
    <row r="98" spans="1:9" ht="13.5" customHeight="1" x14ac:dyDescent="0.55000000000000004">
      <c r="A98" s="7" t="s">
        <v>157</v>
      </c>
      <c r="B98" s="44"/>
      <c r="C98" s="51"/>
    </row>
    <row r="99" spans="1:9" ht="13.5" customHeight="1" x14ac:dyDescent="0.55000000000000004">
      <c r="A99" s="7" t="s">
        <v>153</v>
      </c>
      <c r="B99" s="44"/>
      <c r="C99" s="51"/>
    </row>
    <row r="100" spans="1:9" ht="13.5" customHeight="1" x14ac:dyDescent="0.55000000000000004">
      <c r="A100" s="7" t="s">
        <v>158</v>
      </c>
      <c r="B100" s="44"/>
      <c r="C100" s="51"/>
    </row>
    <row r="101" spans="1:9" ht="13.5" customHeight="1" x14ac:dyDescent="0.55000000000000004">
      <c r="A101" s="7" t="s">
        <v>159</v>
      </c>
      <c r="B101" s="44"/>
      <c r="C101" s="51"/>
    </row>
    <row r="102" spans="1:9" ht="13.5" customHeight="1" x14ac:dyDescent="0.55000000000000004">
      <c r="A102" s="43" t="s">
        <v>160</v>
      </c>
      <c r="B102" s="8">
        <f>SUMIF(C94:C101,"Debt",B94:B101)</f>
        <v>21500</v>
      </c>
    </row>
    <row r="103" spans="1:9" ht="23.25" customHeight="1" x14ac:dyDescent="0.55000000000000004">
      <c r="A103" s="7" t="s">
        <v>161</v>
      </c>
      <c r="B103" s="8">
        <f>SUMIF(C94:C101,"Equity",B94:B101)</f>
        <v>1000</v>
      </c>
    </row>
    <row r="104" spans="1:9" ht="6" customHeight="1" x14ac:dyDescent="0.55000000000000004"/>
    <row r="105" spans="1:9" ht="15.75" customHeight="1" x14ac:dyDescent="0.55000000000000004">
      <c r="A105" s="65" t="s">
        <v>162</v>
      </c>
      <c r="B105" s="63"/>
      <c r="C105" s="63"/>
      <c r="D105" s="63"/>
      <c r="E105" s="63"/>
      <c r="F105" s="63"/>
      <c r="G105" s="63"/>
      <c r="H105" s="63"/>
      <c r="I105" s="63"/>
    </row>
    <row r="106" spans="1:9" ht="13.5" customHeight="1" x14ac:dyDescent="0.55000000000000004">
      <c r="A106" s="7" t="s">
        <v>163</v>
      </c>
      <c r="B106" s="44">
        <v>6000</v>
      </c>
    </row>
    <row r="107" spans="1:9" ht="13.5" customHeight="1" x14ac:dyDescent="0.55000000000000004">
      <c r="A107" s="7" t="s">
        <v>164</v>
      </c>
      <c r="B107" s="44">
        <v>2000</v>
      </c>
    </row>
    <row r="108" spans="1:9" ht="13.5" customHeight="1" x14ac:dyDescent="0.55000000000000004">
      <c r="A108" s="7" t="s">
        <v>165</v>
      </c>
      <c r="B108" s="44">
        <v>500</v>
      </c>
    </row>
    <row r="109" spans="1:9" ht="13.5" customHeight="1" x14ac:dyDescent="0.55000000000000004">
      <c r="A109" s="7" t="s">
        <v>166</v>
      </c>
      <c r="B109" s="56">
        <v>1000</v>
      </c>
    </row>
    <row r="110" spans="1:9" ht="13.5" customHeight="1" x14ac:dyDescent="0.55000000000000004">
      <c r="A110" s="7" t="s">
        <v>167</v>
      </c>
      <c r="B110" s="44">
        <v>100</v>
      </c>
    </row>
    <row r="111" spans="1:9" ht="13.5" customHeight="1" x14ac:dyDescent="0.55000000000000004">
      <c r="A111" s="7" t="s">
        <v>168</v>
      </c>
      <c r="B111" s="44">
        <v>0</v>
      </c>
    </row>
    <row r="112" spans="1:9" ht="13.5" customHeight="1" x14ac:dyDescent="0.55000000000000004">
      <c r="A112" s="7" t="s">
        <v>169</v>
      </c>
      <c r="B112" s="44">
        <v>52</v>
      </c>
    </row>
    <row r="113" spans="1:9" ht="13.5" customHeight="1" x14ac:dyDescent="0.55000000000000004">
      <c r="A113" s="7" t="s">
        <v>170</v>
      </c>
      <c r="B113" s="44">
        <v>0</v>
      </c>
    </row>
    <row r="114" spans="1:9" ht="15" customHeight="1" x14ac:dyDescent="0.55000000000000004">
      <c r="A114" s="43" t="s">
        <v>171</v>
      </c>
      <c r="B114" s="8">
        <f>SUM(B106:B109)-SUM(B110:B113)</f>
        <v>9348</v>
      </c>
    </row>
    <row r="115" spans="1:9" ht="15" customHeight="1" x14ac:dyDescent="0.55000000000000004">
      <c r="A115" s="7" t="s">
        <v>172</v>
      </c>
      <c r="B115" s="8" t="str">
        <f>IF(COUNT(B106:B108)=0,"",IF(B114&lt;=0,"WARN — tangible net worth is nil or negative; CORE Section 5.2 scores 0 and the result is flagged (validation rule V9)",""))</f>
        <v/>
      </c>
    </row>
    <row r="116" spans="1:9" ht="6" customHeight="1" x14ac:dyDescent="0.55000000000000004"/>
    <row r="117" spans="1:9" ht="15.75" customHeight="1" x14ac:dyDescent="0.55000000000000004">
      <c r="A117" s="65" t="s">
        <v>173</v>
      </c>
      <c r="B117" s="63"/>
      <c r="C117" s="63"/>
      <c r="D117" s="63"/>
      <c r="E117" s="63"/>
      <c r="F117" s="63"/>
      <c r="G117" s="63"/>
      <c r="H117" s="63"/>
      <c r="I117" s="63"/>
    </row>
    <row r="118" spans="1:9" ht="15" customHeight="1" x14ac:dyDescent="0.55000000000000004">
      <c r="A118" s="7" t="s">
        <v>174</v>
      </c>
      <c r="B118" s="44">
        <v>3548</v>
      </c>
    </row>
    <row r="119" spans="1:9" ht="15" customHeight="1" x14ac:dyDescent="0.55000000000000004">
      <c r="A119" s="11" t="s">
        <v>175</v>
      </c>
      <c r="B119" s="17">
        <f>IF(OR(B102="",B102=0),"",B118/B102)</f>
        <v>0.1650232558139535</v>
      </c>
    </row>
    <row r="120" spans="1:9" ht="15" customHeight="1" x14ac:dyDescent="0.55000000000000004">
      <c r="A120" s="11" t="s">
        <v>176</v>
      </c>
      <c r="B120" s="12">
        <f>IF(COUNT(B106:B108)=0,"",IF(B114&lt;=0,0,B102/B114))</f>
        <v>2.2999572100984169</v>
      </c>
    </row>
    <row r="121" spans="1:9" ht="27.75" customHeight="1" x14ac:dyDescent="0.55000000000000004">
      <c r="A121" s="67" t="s">
        <v>177</v>
      </c>
      <c r="B121" s="63"/>
      <c r="C121" s="63"/>
      <c r="D121" s="63"/>
      <c r="E121" s="63"/>
      <c r="F121" s="63"/>
      <c r="G121" s="63"/>
      <c r="H121" s="63"/>
      <c r="I121" s="63"/>
    </row>
    <row r="122" spans="1:9" ht="6" customHeight="1" x14ac:dyDescent="0.55000000000000004"/>
    <row r="123" spans="1:9" ht="15.75" customHeight="1" x14ac:dyDescent="0.55000000000000004">
      <c r="A123" s="65" t="s">
        <v>178</v>
      </c>
      <c r="B123" s="63"/>
      <c r="C123" s="63"/>
      <c r="D123" s="63"/>
      <c r="E123" s="63"/>
      <c r="F123" s="63"/>
      <c r="G123" s="63"/>
      <c r="H123" s="63"/>
      <c r="I123" s="63"/>
    </row>
    <row r="124" spans="1:9" ht="15" customHeight="1" x14ac:dyDescent="0.55000000000000004">
      <c r="A124" s="7" t="s">
        <v>179</v>
      </c>
      <c r="B124" s="44">
        <v>1350</v>
      </c>
    </row>
    <row r="125" spans="1:9" ht="23.25" customHeight="1" x14ac:dyDescent="0.55000000000000004">
      <c r="A125" s="7" t="s">
        <v>180</v>
      </c>
      <c r="B125" s="44">
        <v>0</v>
      </c>
    </row>
    <row r="126" spans="1:9" ht="15" customHeight="1" x14ac:dyDescent="0.55000000000000004">
      <c r="A126" s="7" t="s">
        <v>181</v>
      </c>
      <c r="B126" s="44">
        <v>250</v>
      </c>
    </row>
    <row r="127" spans="1:9" ht="15" customHeight="1" x14ac:dyDescent="0.55000000000000004">
      <c r="A127" s="7" t="s">
        <v>182</v>
      </c>
      <c r="B127" s="44">
        <v>0</v>
      </c>
    </row>
    <row r="128" spans="1:9" ht="15" customHeight="1" x14ac:dyDescent="0.55000000000000004">
      <c r="A128" s="7" t="s">
        <v>183</v>
      </c>
      <c r="B128" s="44">
        <v>180</v>
      </c>
    </row>
    <row r="129" spans="1:9" ht="15" customHeight="1" x14ac:dyDescent="0.55000000000000004">
      <c r="A129" s="7" t="s">
        <v>184</v>
      </c>
      <c r="B129" s="8">
        <f>IF(B124="","",MAX(0,B124-B125))</f>
        <v>1350</v>
      </c>
    </row>
    <row r="130" spans="1:9" ht="23.25" customHeight="1" x14ac:dyDescent="0.55000000000000004">
      <c r="A130" s="7" t="s">
        <v>185</v>
      </c>
      <c r="B130" s="8">
        <f>IF(B124="","",MAX(0,B124-B125)+MAX(0,B126-B127))</f>
        <v>1600</v>
      </c>
    </row>
    <row r="131" spans="1:9" ht="23.25" customHeight="1" x14ac:dyDescent="0.55000000000000004">
      <c r="A131" s="11" t="s">
        <v>186</v>
      </c>
      <c r="B131" s="18">
        <f>IF(OR(B128="",B128=0,B129=""),"",B129/B128)</f>
        <v>7.5</v>
      </c>
    </row>
    <row r="132" spans="1:9" ht="15" customHeight="1" x14ac:dyDescent="0.55000000000000004">
      <c r="A132" s="11" t="s">
        <v>187</v>
      </c>
      <c r="B132" s="8" t="str">
        <f>IF(B131="","",IF(B131&gt;=12,"Superior",IF(B131&gt;=9,"Strong",IF(B131&gt;=6,"Adequate",IF(B131&gt;=3,"Stretched","Poor")))))</f>
        <v>Adequate</v>
      </c>
    </row>
    <row r="133" spans="1:9" ht="15" customHeight="1" x14ac:dyDescent="0.55000000000000004">
      <c r="A133" s="11" t="s">
        <v>188</v>
      </c>
      <c r="B133" s="8">
        <f>IF(B131="","",IF(B131&gt;=12,7,IF(B131&gt;=9,5.5,IF(B131&gt;=6,4,IF(B131&gt;=3,2,0)))))</f>
        <v>4</v>
      </c>
    </row>
    <row r="134" spans="1:9" ht="27.75" customHeight="1" x14ac:dyDescent="0.55000000000000004">
      <c r="A134" s="67" t="s">
        <v>189</v>
      </c>
      <c r="B134" s="63"/>
      <c r="C134" s="63"/>
      <c r="D134" s="63"/>
      <c r="E134" s="63"/>
      <c r="F134" s="63"/>
      <c r="G134" s="63"/>
      <c r="H134" s="63"/>
      <c r="I134" s="63"/>
    </row>
    <row r="135" spans="1:9" ht="6" customHeight="1" x14ac:dyDescent="0.55000000000000004"/>
    <row r="136" spans="1:9" ht="15.75" customHeight="1" x14ac:dyDescent="0.55000000000000004">
      <c r="A136" s="65" t="s">
        <v>190</v>
      </c>
      <c r="B136" s="63"/>
      <c r="C136" s="63"/>
      <c r="D136" s="63"/>
      <c r="E136" s="63"/>
      <c r="F136" s="63"/>
      <c r="G136" s="63"/>
      <c r="H136" s="63"/>
      <c r="I136" s="63"/>
    </row>
    <row r="137" spans="1:9" ht="15" customHeight="1" x14ac:dyDescent="0.55000000000000004">
      <c r="A137" s="9" t="s">
        <v>128</v>
      </c>
      <c r="B137" s="9" t="s">
        <v>129</v>
      </c>
      <c r="C137" s="9" t="s">
        <v>191</v>
      </c>
      <c r="D137" s="9" t="s">
        <v>192</v>
      </c>
      <c r="E137" s="9" t="s">
        <v>193</v>
      </c>
      <c r="F137" s="9" t="s">
        <v>194</v>
      </c>
      <c r="G137" s="9" t="s">
        <v>135</v>
      </c>
      <c r="H137" s="9" t="s">
        <v>136</v>
      </c>
    </row>
    <row r="138" spans="1:9" ht="15" customHeight="1" x14ac:dyDescent="0.55000000000000004">
      <c r="A138" s="7" t="s">
        <v>195</v>
      </c>
      <c r="B138" s="14">
        <f>B119</f>
        <v>0.1650232558139535</v>
      </c>
      <c r="C138" s="19">
        <v>0.25</v>
      </c>
      <c r="D138" s="19">
        <v>0.15</v>
      </c>
      <c r="E138" s="19">
        <v>0.08</v>
      </c>
      <c r="F138" s="19">
        <v>0.03</v>
      </c>
      <c r="G138" s="8" t="str">
        <f>IF(B138="","",IF(B138&gt;=C138,"Full",IF(B138&gt;=D138,"Strong",IF(B138&gt;=E138,"Adequate",IF(B138&gt;=F138,"Weak","Deficient")))))</f>
        <v>Strong</v>
      </c>
      <c r="H138" s="8">
        <f>IF(B138="","",IF(B138&gt;=C138,10,IF(B138&gt;=D138,7.5,IF(B138&gt;=E138,5,IF(B138&gt;=F138,2.5,0)))))</f>
        <v>7.5</v>
      </c>
    </row>
    <row r="139" spans="1:9" ht="15" customHeight="1" x14ac:dyDescent="0.55000000000000004">
      <c r="A139" s="7" t="s">
        <v>196</v>
      </c>
      <c r="B139" s="12">
        <f>B120</f>
        <v>2.2999572100984169</v>
      </c>
      <c r="C139" s="20">
        <v>1.857</v>
      </c>
      <c r="D139" s="20">
        <v>2.3330000000000002</v>
      </c>
      <c r="E139" s="20">
        <v>3</v>
      </c>
      <c r="F139" s="20">
        <v>4</v>
      </c>
      <c r="G139" s="8" t="str">
        <f>IF(B139="","",IF(AND(ISNUMBER(B139),B139=0),"Deficient — nil or negative net worth",IF(B139&lt;=C139,"Full",IF(B139&lt;=D139,"Strong",IF(B139&lt;=E139,"Adequate",IF(B139&lt;=F139,"Weak","Deficient"))))))</f>
        <v>Strong</v>
      </c>
      <c r="H139" s="8">
        <f>IF(B139="","",IF(AND(ISNUMBER(B139),B139=0),0,IF(B139&lt;=C139,8,IF(B139&lt;=D139,6,IF(B139&lt;=E139,4,IF(B139&lt;=F139,2,0))))))</f>
        <v>6</v>
      </c>
    </row>
    <row r="140" spans="1:9" ht="15" customHeight="1" x14ac:dyDescent="0.55000000000000004">
      <c r="A140" s="7" t="s">
        <v>197</v>
      </c>
      <c r="B140" s="18">
        <f>B131</f>
        <v>7.5</v>
      </c>
      <c r="C140" s="21">
        <v>12</v>
      </c>
      <c r="D140" s="21">
        <v>9</v>
      </c>
      <c r="E140" s="21">
        <v>6</v>
      </c>
      <c r="F140" s="21">
        <v>3</v>
      </c>
      <c r="G140" s="8" t="str">
        <f>B132</f>
        <v>Adequate</v>
      </c>
      <c r="H140" s="8">
        <f>B133</f>
        <v>4</v>
      </c>
    </row>
    <row r="141" spans="1:9" ht="21.75" customHeight="1" x14ac:dyDescent="0.55000000000000004">
      <c r="A141" s="11" t="s">
        <v>198</v>
      </c>
      <c r="B141" s="22">
        <f>IF(COUNT(H138:H140)=0,"",SUM(H138:H140))</f>
        <v>17.5</v>
      </c>
      <c r="C141" s="64" t="s">
        <v>199</v>
      </c>
      <c r="D141" s="63"/>
      <c r="E141" s="63"/>
      <c r="F141" s="63"/>
      <c r="G141" s="63"/>
      <c r="H141" s="63"/>
      <c r="I141" s="63"/>
    </row>
    <row r="142" spans="1:9" ht="6" customHeight="1" x14ac:dyDescent="0.55000000000000004"/>
    <row r="143" spans="1:9" ht="18" customHeight="1" x14ac:dyDescent="0.55000000000000004">
      <c r="A143" s="62" t="s">
        <v>200</v>
      </c>
      <c r="B143" s="63"/>
      <c r="C143" s="63"/>
      <c r="D143" s="63"/>
      <c r="E143" s="63"/>
      <c r="F143" s="63"/>
      <c r="G143" s="63"/>
      <c r="H143" s="63"/>
      <c r="I143" s="63"/>
    </row>
    <row r="144" spans="1:9" ht="15" customHeight="1" x14ac:dyDescent="0.55000000000000004">
      <c r="A144" s="9" t="s">
        <v>201</v>
      </c>
      <c r="B144" s="9" t="s">
        <v>202</v>
      </c>
    </row>
    <row r="145" spans="1:2" ht="13.5" customHeight="1" x14ac:dyDescent="0.55000000000000004">
      <c r="A145" s="7" t="s">
        <v>203</v>
      </c>
      <c r="B145" s="23" t="str">
        <f>B58</f>
        <v>Satisfied</v>
      </c>
    </row>
    <row r="146" spans="1:2" ht="13.5" customHeight="1" x14ac:dyDescent="0.55000000000000004">
      <c r="A146" s="7" t="s">
        <v>204</v>
      </c>
      <c r="B146" s="23" t="str">
        <f>B9</f>
        <v>Set W</v>
      </c>
    </row>
    <row r="147" spans="1:2" ht="24.6" x14ac:dyDescent="0.55000000000000004">
      <c r="A147" s="7" t="s">
        <v>205</v>
      </c>
      <c r="B147" s="23" t="str">
        <f>B88</f>
        <v>Coverage floor not triggered</v>
      </c>
    </row>
    <row r="148" spans="1:2" ht="13.5" customHeight="1" x14ac:dyDescent="0.55000000000000004">
      <c r="A148" s="7" t="s">
        <v>92</v>
      </c>
      <c r="B148" s="24">
        <f>B50</f>
        <v>14</v>
      </c>
    </row>
    <row r="149" spans="1:2" ht="24.6" x14ac:dyDescent="0.55000000000000004">
      <c r="A149" s="7" t="s">
        <v>206</v>
      </c>
      <c r="B149" s="23" t="str">
        <f>B65</f>
        <v>Not applicable — single route used</v>
      </c>
    </row>
    <row r="150" spans="1:2" ht="13.5" customHeight="1" x14ac:dyDescent="0.55000000000000004">
      <c r="A150" s="7" t="s">
        <v>207</v>
      </c>
      <c r="B150" s="23" t="str">
        <f>B115</f>
        <v/>
      </c>
    </row>
    <row r="151" spans="1:2" ht="13.5" customHeight="1" x14ac:dyDescent="0.55000000000000004">
      <c r="A151" s="7" t="s">
        <v>208</v>
      </c>
      <c r="B151" s="25" t="s">
        <v>209</v>
      </c>
    </row>
  </sheetData>
  <mergeCells count="29">
    <mergeCell ref="A1:I1"/>
    <mergeCell ref="A79:I79"/>
    <mergeCell ref="A61:I61"/>
    <mergeCell ref="A143:I143"/>
    <mergeCell ref="A92:I92"/>
    <mergeCell ref="A59:I59"/>
    <mergeCell ref="A11:I11"/>
    <mergeCell ref="A51:I51"/>
    <mergeCell ref="A123:I123"/>
    <mergeCell ref="C141:I141"/>
    <mergeCell ref="A121:I121"/>
    <mergeCell ref="A117:I117"/>
    <mergeCell ref="A13:I13"/>
    <mergeCell ref="A67:I67"/>
    <mergeCell ref="A90:I90"/>
    <mergeCell ref="A75:I75"/>
    <mergeCell ref="A136:I136"/>
    <mergeCell ref="A105:I105"/>
    <mergeCell ref="A2:I2"/>
    <mergeCell ref="A47:I47"/>
    <mergeCell ref="A14:I14"/>
    <mergeCell ref="C87:I87"/>
    <mergeCell ref="A91:I91"/>
    <mergeCell ref="A53:I53"/>
    <mergeCell ref="A4:I4"/>
    <mergeCell ref="A62:I62"/>
    <mergeCell ref="B88:I88"/>
    <mergeCell ref="A134:I134"/>
    <mergeCell ref="A81:I81"/>
  </mergeCells>
  <dataValidations count="3">
    <dataValidation type="list" allowBlank="1" showErrorMessage="1" errorTitle="Template 1 governs" error="Template 1 Section A.1 is the source of truth for technology type. CORE V13 blocks a mismatch." sqref="B7" xr:uid="{00000000-0002-0000-0100-000000000000}">
      <formula1>"Wind,Solar PV,Solar + Wind Hybrid"</formula1>
    </dataValidation>
    <dataValidation type="list" allowBlank="1" showErrorMessage="1" errorTitle="Attestation is the only route" error="CORE v3.0 Section 9.5 withdrew the derivation route. The only permitted basis is &quot;Attested as P90&quot;." sqref="B55" xr:uid="{00000000-0002-0000-0100-000001000000}">
      <formula1>"Attested as P90"</formula1>
    </dataValidation>
    <dataValidation type="list" showErrorMessage="1" errorTitle="Treatment is mandatory" error="Every instrument carrying an amount needs an explicit Debt or Equity treatment. The default is Debt. A blank is a null and validation rule V14 blocks it." sqref="C94:C101" xr:uid="{00000000-0002-0000-0100-000002000000}">
      <formula1>"Debt,Equity"</formula1>
    </dataValidation>
  </dataValidations>
  <pageMargins left="0.5" right="0.5"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1"/>
  <sheetViews>
    <sheetView showGridLines="0" zoomScaleNormal="100" workbookViewId="0">
      <pane xSplit="1" ySplit="3" topLeftCell="B4" activePane="bottomRight" state="frozen"/>
      <selection pane="topRight" activeCell="B1" sqref="B1"/>
      <selection pane="bottomLeft" activeCell="A4" sqref="A4"/>
      <selection pane="bottomRight" activeCell="B1" sqref="B1"/>
    </sheetView>
  </sheetViews>
  <sheetFormatPr defaultColWidth="8.68359375" defaultRowHeight="14.4" x14ac:dyDescent="0.55000000000000004"/>
  <cols>
    <col min="1" max="1" width="62" customWidth="1"/>
    <col min="2" max="5" width="18" customWidth="1"/>
    <col min="6" max="6" width="14" customWidth="1"/>
    <col min="7" max="7" width="16" customWidth="1"/>
    <col min="8" max="9" width="18" customWidth="1"/>
  </cols>
  <sheetData>
    <row r="1" spans="1:6" ht="19.5" customHeight="1" x14ac:dyDescent="0.6">
      <c r="A1" s="26" t="s">
        <v>210</v>
      </c>
    </row>
    <row r="2" spans="1:6" ht="15" customHeight="1" x14ac:dyDescent="0.55000000000000004">
      <c r="A2" s="27" t="s">
        <v>211</v>
      </c>
    </row>
    <row r="3" spans="1:6" ht="42" customHeight="1" x14ac:dyDescent="0.55000000000000004">
      <c r="A3" s="54" t="s">
        <v>212</v>
      </c>
    </row>
    <row r="4" spans="1:6" ht="15" customHeight="1" x14ac:dyDescent="0.55000000000000004">
      <c r="A4" s="28" t="s">
        <v>213</v>
      </c>
    </row>
    <row r="5" spans="1:6" ht="23.25" customHeight="1" x14ac:dyDescent="0.55000000000000004">
      <c r="A5" s="29" t="s">
        <v>214</v>
      </c>
      <c r="B5" s="57" t="str">
        <f>'Data Input'!B5</f>
        <v>INR Lakh</v>
      </c>
    </row>
    <row r="6" spans="1:6" ht="15" customHeight="1" x14ac:dyDescent="0.55000000000000004">
      <c r="A6" s="29" t="s">
        <v>42</v>
      </c>
      <c r="B6" s="57" t="str">
        <f>'Data Input'!B6</f>
        <v>2026-07-30</v>
      </c>
    </row>
    <row r="7" spans="1:6" ht="15" customHeight="1" x14ac:dyDescent="0.55000000000000004">
      <c r="A7" s="30" t="s">
        <v>215</v>
      </c>
      <c r="B7" s="57" t="str">
        <f>'Data Input'!B7</f>
        <v>Wind</v>
      </c>
    </row>
    <row r="8" spans="1:6" ht="23.25" customHeight="1" x14ac:dyDescent="0.55000000000000004">
      <c r="A8" s="30" t="s">
        <v>46</v>
      </c>
      <c r="B8" s="58">
        <f>'Data Input'!B8</f>
        <v>0</v>
      </c>
    </row>
    <row r="9" spans="1:6" ht="15" customHeight="1" x14ac:dyDescent="0.55000000000000004">
      <c r="A9" s="29" t="s">
        <v>216</v>
      </c>
      <c r="B9" s="31" t="str">
        <f>IF(B7="Wind","Set W",IF(B7="Solar PV","Set S",IF(B7="Solar + Wind Hybrid","Set H","CHECK B7")))</f>
        <v>Set W</v>
      </c>
    </row>
    <row r="10" spans="1:6" ht="15" customHeight="1" x14ac:dyDescent="0.55000000000000004">
      <c r="A10" s="29" t="s">
        <v>217</v>
      </c>
      <c r="B10" s="32">
        <f>IF(B8&gt;0.25,0.2,0)</f>
        <v>0</v>
      </c>
    </row>
    <row r="11" spans="1:6" ht="15" customHeight="1" x14ac:dyDescent="0.55000000000000004">
      <c r="A11" s="42" t="s">
        <v>49</v>
      </c>
    </row>
    <row r="12" spans="1:6" ht="15" customHeight="1" x14ac:dyDescent="0.55000000000000004"/>
    <row r="13" spans="1:6" ht="15" customHeight="1" x14ac:dyDescent="0.55000000000000004">
      <c r="A13" s="28" t="s">
        <v>218</v>
      </c>
    </row>
    <row r="14" spans="1:6" ht="15" customHeight="1" x14ac:dyDescent="0.55000000000000004">
      <c r="A14" s="33" t="s">
        <v>52</v>
      </c>
      <c r="B14" s="33" t="s">
        <v>53</v>
      </c>
      <c r="C14" s="33" t="s">
        <v>54</v>
      </c>
      <c r="D14" s="33" t="s">
        <v>55</v>
      </c>
      <c r="E14" s="33" t="s">
        <v>56</v>
      </c>
      <c r="F14" s="33" t="s">
        <v>57</v>
      </c>
    </row>
    <row r="15" spans="1:6" ht="15" customHeight="1" x14ac:dyDescent="0.55000000000000004">
      <c r="A15" s="29" t="s">
        <v>59</v>
      </c>
      <c r="B15" s="59">
        <f>'Data Input'!B16</f>
        <v>3869.38</v>
      </c>
      <c r="C15" s="59">
        <f>'Data Input'!C16</f>
        <v>1960</v>
      </c>
      <c r="D15" s="59">
        <f>'Data Input'!D16</f>
        <v>927.6</v>
      </c>
      <c r="E15" s="34">
        <f t="shared" ref="E15:E44" si="0">IF(COUNT(C15:D15)=0,"",C15+D15)</f>
        <v>2887.6</v>
      </c>
      <c r="F15" s="32">
        <f t="shared" ref="F15:F44" si="1">IF(OR(E15="",E15=0),"",B15/E15)</f>
        <v>1.3399986147665883</v>
      </c>
    </row>
    <row r="16" spans="1:6" ht="15" customHeight="1" x14ac:dyDescent="0.55000000000000004">
      <c r="A16" s="29" t="s">
        <v>60</v>
      </c>
      <c r="B16" s="59">
        <f>'Data Input'!B17</f>
        <v>4107.3999999999996</v>
      </c>
      <c r="C16" s="59">
        <f>'Data Input'!C17</f>
        <v>1869.1</v>
      </c>
      <c r="D16" s="59">
        <f>'Data Input'!D17</f>
        <v>983.26</v>
      </c>
      <c r="E16" s="34">
        <f t="shared" si="0"/>
        <v>2852.3599999999997</v>
      </c>
      <c r="F16" s="32">
        <f t="shared" si="1"/>
        <v>1.4400005609390119</v>
      </c>
    </row>
    <row r="17" spans="1:6" ht="15" customHeight="1" x14ac:dyDescent="0.55000000000000004">
      <c r="A17" s="29" t="s">
        <v>61</v>
      </c>
      <c r="B17" s="59">
        <f>'Data Input'!B18</f>
        <v>4096.57</v>
      </c>
      <c r="C17" s="59">
        <f>'Data Input'!C18</f>
        <v>1772.74</v>
      </c>
      <c r="D17" s="59">
        <f>'Data Input'!D18</f>
        <v>1038.9100000000001</v>
      </c>
      <c r="E17" s="34">
        <f t="shared" si="0"/>
        <v>2811.65</v>
      </c>
      <c r="F17" s="32">
        <f t="shared" si="1"/>
        <v>1.4569985595646682</v>
      </c>
    </row>
    <row r="18" spans="1:6" ht="15" customHeight="1" x14ac:dyDescent="0.55000000000000004">
      <c r="A18" s="29" t="s">
        <v>62</v>
      </c>
      <c r="B18" s="59">
        <f>'Data Input'!B19</f>
        <v>4076.33</v>
      </c>
      <c r="C18" s="59">
        <f>'Data Input'!C19</f>
        <v>1670.92</v>
      </c>
      <c r="D18" s="59">
        <f>'Data Input'!D19</f>
        <v>1094.57</v>
      </c>
      <c r="E18" s="34">
        <f t="shared" si="0"/>
        <v>2765.49</v>
      </c>
      <c r="F18" s="32">
        <f t="shared" si="1"/>
        <v>1.4739991827849677</v>
      </c>
    </row>
    <row r="19" spans="1:6" ht="15" customHeight="1" x14ac:dyDescent="0.55000000000000004">
      <c r="A19" s="29" t="s">
        <v>63</v>
      </c>
      <c r="B19" s="59">
        <f>'Data Input'!B20</f>
        <v>4046.4</v>
      </c>
      <c r="C19" s="59">
        <f>'Data Input'!C20</f>
        <v>1563.65</v>
      </c>
      <c r="D19" s="59">
        <f>'Data Input'!D20</f>
        <v>1150.23</v>
      </c>
      <c r="E19" s="34">
        <f t="shared" si="0"/>
        <v>2713.88</v>
      </c>
      <c r="F19" s="32">
        <f t="shared" si="1"/>
        <v>1.4910018129025602</v>
      </c>
    </row>
    <row r="20" spans="1:6" ht="15" customHeight="1" x14ac:dyDescent="0.55000000000000004">
      <c r="A20" s="29" t="s">
        <v>64</v>
      </c>
      <c r="B20" s="59">
        <f>'Data Input'!B21</f>
        <v>4006.47</v>
      </c>
      <c r="C20" s="59">
        <f>'Data Input'!C21</f>
        <v>1450.93</v>
      </c>
      <c r="D20" s="59">
        <f>'Data Input'!D21</f>
        <v>1205.8800000000001</v>
      </c>
      <c r="E20" s="34">
        <f t="shared" si="0"/>
        <v>2656.8100000000004</v>
      </c>
      <c r="F20" s="32">
        <f t="shared" si="1"/>
        <v>1.5080001957234426</v>
      </c>
    </row>
    <row r="21" spans="1:6" ht="15" customHeight="1" x14ac:dyDescent="0.55000000000000004">
      <c r="A21" s="29" t="s">
        <v>65</v>
      </c>
      <c r="B21" s="59">
        <f>'Data Input'!B22</f>
        <v>3956.31</v>
      </c>
      <c r="C21" s="59">
        <f>'Data Input'!C22</f>
        <v>1332.76</v>
      </c>
      <c r="D21" s="59">
        <f>'Data Input'!D22</f>
        <v>1261.54</v>
      </c>
      <c r="E21" s="34">
        <f t="shared" si="0"/>
        <v>2594.3000000000002</v>
      </c>
      <c r="F21" s="32">
        <f t="shared" si="1"/>
        <v>1.5250009636510811</v>
      </c>
    </row>
    <row r="22" spans="1:6" ht="15" customHeight="1" x14ac:dyDescent="0.55000000000000004">
      <c r="A22" s="29" t="s">
        <v>66</v>
      </c>
      <c r="B22" s="59">
        <f>'Data Input'!B23</f>
        <v>3895.57</v>
      </c>
      <c r="C22" s="59">
        <f>'Data Input'!C23</f>
        <v>1209.1199999999999</v>
      </c>
      <c r="D22" s="59">
        <f>'Data Input'!D23</f>
        <v>1317.19</v>
      </c>
      <c r="E22" s="34">
        <f t="shared" si="0"/>
        <v>2526.31</v>
      </c>
      <c r="F22" s="32">
        <f t="shared" si="1"/>
        <v>1.5419999920833154</v>
      </c>
    </row>
    <row r="23" spans="1:6" ht="15" customHeight="1" x14ac:dyDescent="0.55000000000000004">
      <c r="A23" s="29" t="s">
        <v>67</v>
      </c>
      <c r="B23" s="59">
        <f>'Data Input'!B24</f>
        <v>3824.06</v>
      </c>
      <c r="C23" s="59">
        <f>'Data Input'!C24</f>
        <v>1080.04</v>
      </c>
      <c r="D23" s="59">
        <f>'Data Input'!D24</f>
        <v>1372.85</v>
      </c>
      <c r="E23" s="34">
        <f t="shared" si="0"/>
        <v>2452.89</v>
      </c>
      <c r="F23" s="32">
        <f t="shared" si="1"/>
        <v>1.5590018304938258</v>
      </c>
    </row>
    <row r="24" spans="1:6" ht="15" customHeight="1" x14ac:dyDescent="0.55000000000000004">
      <c r="A24" s="29" t="s">
        <v>68</v>
      </c>
      <c r="B24" s="59">
        <f>'Data Input'!B25</f>
        <v>3741.44</v>
      </c>
      <c r="C24" s="59">
        <f>'Data Input'!C25</f>
        <v>945.5</v>
      </c>
      <c r="D24" s="59">
        <f>'Data Input'!D25</f>
        <v>1428.51</v>
      </c>
      <c r="E24" s="34">
        <f t="shared" si="0"/>
        <v>2374.0100000000002</v>
      </c>
      <c r="F24" s="32">
        <f t="shared" si="1"/>
        <v>1.576000101094772</v>
      </c>
    </row>
    <row r="25" spans="1:6" ht="15" customHeight="1" x14ac:dyDescent="0.55000000000000004">
      <c r="A25" s="29" t="s">
        <v>69</v>
      </c>
      <c r="B25" s="59">
        <f>'Data Input'!B26</f>
        <v>3647.44</v>
      </c>
      <c r="C25" s="59">
        <f>'Data Input'!C26</f>
        <v>805.51</v>
      </c>
      <c r="D25" s="59">
        <f>'Data Input'!D26</f>
        <v>1484.16</v>
      </c>
      <c r="E25" s="34">
        <f t="shared" si="0"/>
        <v>2289.67</v>
      </c>
      <c r="F25" s="32">
        <f t="shared" si="1"/>
        <v>1.592998117632672</v>
      </c>
    </row>
    <row r="26" spans="1:6" ht="15" customHeight="1" x14ac:dyDescent="0.55000000000000004">
      <c r="A26" s="29" t="s">
        <v>70</v>
      </c>
      <c r="B26" s="59">
        <f>'Data Input'!B27</f>
        <v>3541.81</v>
      </c>
      <c r="C26" s="59">
        <f>'Data Input'!C27</f>
        <v>660.06</v>
      </c>
      <c r="D26" s="59">
        <f>'Data Input'!D27</f>
        <v>1539.82</v>
      </c>
      <c r="E26" s="34">
        <f t="shared" si="0"/>
        <v>2199.88</v>
      </c>
      <c r="F26" s="32">
        <f t="shared" si="1"/>
        <v>1.6100014546247976</v>
      </c>
    </row>
    <row r="27" spans="1:6" ht="15" customHeight="1" x14ac:dyDescent="0.55000000000000004">
      <c r="A27" s="29" t="s">
        <v>71</v>
      </c>
      <c r="B27" s="59">
        <f>'Data Input'!B28</f>
        <v>3424.25</v>
      </c>
      <c r="C27" s="59">
        <f>'Data Input'!C28</f>
        <v>509.16</v>
      </c>
      <c r="D27" s="59">
        <f>'Data Input'!D28</f>
        <v>1595.48</v>
      </c>
      <c r="E27" s="34">
        <f t="shared" si="0"/>
        <v>2104.64</v>
      </c>
      <c r="F27" s="32">
        <f t="shared" si="1"/>
        <v>1.627000342101262</v>
      </c>
    </row>
    <row r="28" spans="1:6" ht="15" customHeight="1" x14ac:dyDescent="0.55000000000000004">
      <c r="A28" s="29" t="s">
        <v>72</v>
      </c>
      <c r="B28" s="59">
        <f>'Data Input'!B29</f>
        <v>6079.41</v>
      </c>
      <c r="C28" s="59">
        <f>'Data Input'!C29</f>
        <v>352.8</v>
      </c>
      <c r="D28" s="59">
        <f>'Data Input'!D29</f>
        <v>3600</v>
      </c>
      <c r="E28" s="34">
        <f t="shared" si="0"/>
        <v>3952.8</v>
      </c>
      <c r="F28" s="32">
        <f t="shared" si="1"/>
        <v>1.5380009107468122</v>
      </c>
    </row>
    <row r="29" spans="1:6" ht="15" customHeight="1" x14ac:dyDescent="0.55000000000000004">
      <c r="A29" s="29" t="s">
        <v>73</v>
      </c>
      <c r="B29" s="59">
        <f>'Data Input'!B30</f>
        <v>0</v>
      </c>
      <c r="C29" s="59">
        <f>'Data Input'!C30</f>
        <v>0</v>
      </c>
      <c r="D29" s="59">
        <f>'Data Input'!D30</f>
        <v>0</v>
      </c>
      <c r="E29" s="34">
        <f t="shared" si="0"/>
        <v>0</v>
      </c>
      <c r="F29" s="32" t="str">
        <f t="shared" si="1"/>
        <v/>
      </c>
    </row>
    <row r="30" spans="1:6" ht="15" customHeight="1" x14ac:dyDescent="0.55000000000000004">
      <c r="A30" s="29" t="s">
        <v>74</v>
      </c>
      <c r="B30" s="59">
        <f>'Data Input'!B31</f>
        <v>0</v>
      </c>
      <c r="C30" s="59">
        <f>'Data Input'!C31</f>
        <v>0</v>
      </c>
      <c r="D30" s="59">
        <f>'Data Input'!D31</f>
        <v>0</v>
      </c>
      <c r="E30" s="34">
        <f t="shared" si="0"/>
        <v>0</v>
      </c>
      <c r="F30" s="32" t="str">
        <f t="shared" si="1"/>
        <v/>
      </c>
    </row>
    <row r="31" spans="1:6" ht="15" customHeight="1" x14ac:dyDescent="0.55000000000000004">
      <c r="A31" s="29" t="s">
        <v>75</v>
      </c>
      <c r="B31" s="59">
        <f>'Data Input'!B32</f>
        <v>0</v>
      </c>
      <c r="C31" s="59">
        <f>'Data Input'!C32</f>
        <v>0</v>
      </c>
      <c r="D31" s="59">
        <f>'Data Input'!D32</f>
        <v>0</v>
      </c>
      <c r="E31" s="34">
        <f t="shared" si="0"/>
        <v>0</v>
      </c>
      <c r="F31" s="32" t="str">
        <f t="shared" si="1"/>
        <v/>
      </c>
    </row>
    <row r="32" spans="1:6" ht="15" customHeight="1" x14ac:dyDescent="0.55000000000000004">
      <c r="A32" s="29" t="s">
        <v>76</v>
      </c>
      <c r="B32" s="59">
        <f>'Data Input'!B33</f>
        <v>0</v>
      </c>
      <c r="C32" s="59">
        <f>'Data Input'!C33</f>
        <v>0</v>
      </c>
      <c r="D32" s="59">
        <f>'Data Input'!D33</f>
        <v>0</v>
      </c>
      <c r="E32" s="34">
        <f t="shared" si="0"/>
        <v>0</v>
      </c>
      <c r="F32" s="32" t="str">
        <f t="shared" si="1"/>
        <v/>
      </c>
    </row>
    <row r="33" spans="1:6" ht="15" customHeight="1" x14ac:dyDescent="0.55000000000000004">
      <c r="A33" s="29" t="s">
        <v>77</v>
      </c>
      <c r="B33" s="59">
        <f>'Data Input'!B34</f>
        <v>0</v>
      </c>
      <c r="C33" s="59">
        <f>'Data Input'!C34</f>
        <v>0</v>
      </c>
      <c r="D33" s="59">
        <f>'Data Input'!D34</f>
        <v>0</v>
      </c>
      <c r="E33" s="34">
        <f t="shared" si="0"/>
        <v>0</v>
      </c>
      <c r="F33" s="32" t="str">
        <f t="shared" si="1"/>
        <v/>
      </c>
    </row>
    <row r="34" spans="1:6" ht="15" customHeight="1" x14ac:dyDescent="0.55000000000000004">
      <c r="A34" s="29" t="s">
        <v>78</v>
      </c>
      <c r="B34" s="59">
        <f>'Data Input'!B35</f>
        <v>0</v>
      </c>
      <c r="C34" s="59">
        <f>'Data Input'!C35</f>
        <v>0</v>
      </c>
      <c r="D34" s="59">
        <f>'Data Input'!D35</f>
        <v>0</v>
      </c>
      <c r="E34" s="34">
        <f t="shared" si="0"/>
        <v>0</v>
      </c>
      <c r="F34" s="32" t="str">
        <f t="shared" si="1"/>
        <v/>
      </c>
    </row>
    <row r="35" spans="1:6" ht="23.25" customHeight="1" x14ac:dyDescent="0.55000000000000004">
      <c r="A35" s="29" t="s">
        <v>79</v>
      </c>
      <c r="B35" s="59">
        <f>'Data Input'!B36</f>
        <v>0</v>
      </c>
      <c r="C35" s="59">
        <f>'Data Input'!C36</f>
        <v>0</v>
      </c>
      <c r="D35" s="59">
        <f>'Data Input'!D36</f>
        <v>0</v>
      </c>
      <c r="E35" s="34">
        <f t="shared" si="0"/>
        <v>0</v>
      </c>
      <c r="F35" s="32" t="str">
        <f t="shared" si="1"/>
        <v/>
      </c>
    </row>
    <row r="36" spans="1:6" ht="23.25" customHeight="1" x14ac:dyDescent="0.55000000000000004">
      <c r="A36" s="29" t="s">
        <v>80</v>
      </c>
      <c r="B36" s="59">
        <f>'Data Input'!B37</f>
        <v>0</v>
      </c>
      <c r="C36" s="59">
        <f>'Data Input'!C37</f>
        <v>0</v>
      </c>
      <c r="D36" s="59">
        <f>'Data Input'!D37</f>
        <v>0</v>
      </c>
      <c r="E36" s="34">
        <f t="shared" si="0"/>
        <v>0</v>
      </c>
      <c r="F36" s="32" t="str">
        <f t="shared" si="1"/>
        <v/>
      </c>
    </row>
    <row r="37" spans="1:6" ht="34.5" customHeight="1" x14ac:dyDescent="0.55000000000000004">
      <c r="A37" s="29" t="s">
        <v>81</v>
      </c>
      <c r="B37" s="59">
        <f>'Data Input'!B38</f>
        <v>0</v>
      </c>
      <c r="C37" s="59">
        <f>'Data Input'!C38</f>
        <v>0</v>
      </c>
      <c r="D37" s="59">
        <f>'Data Input'!D38</f>
        <v>0</v>
      </c>
      <c r="E37" s="34">
        <f t="shared" si="0"/>
        <v>0</v>
      </c>
      <c r="F37" s="32" t="str">
        <f t="shared" si="1"/>
        <v/>
      </c>
    </row>
    <row r="38" spans="1:6" ht="34.5" customHeight="1" x14ac:dyDescent="0.55000000000000004">
      <c r="A38" s="29" t="s">
        <v>82</v>
      </c>
      <c r="B38" s="59">
        <f>'Data Input'!B39</f>
        <v>0</v>
      </c>
      <c r="C38" s="59">
        <f>'Data Input'!C39</f>
        <v>0</v>
      </c>
      <c r="D38" s="59">
        <f>'Data Input'!D39</f>
        <v>0</v>
      </c>
      <c r="E38" s="34">
        <f t="shared" si="0"/>
        <v>0</v>
      </c>
      <c r="F38" s="32" t="str">
        <f t="shared" si="1"/>
        <v/>
      </c>
    </row>
    <row r="39" spans="1:6" ht="15" customHeight="1" x14ac:dyDescent="0.55000000000000004">
      <c r="A39" s="29" t="s">
        <v>83</v>
      </c>
      <c r="B39" s="59">
        <f>'Data Input'!B40</f>
        <v>0</v>
      </c>
      <c r="C39" s="59">
        <f>'Data Input'!C40</f>
        <v>0</v>
      </c>
      <c r="D39" s="59">
        <f>'Data Input'!D40</f>
        <v>0</v>
      </c>
      <c r="E39" s="34">
        <f t="shared" si="0"/>
        <v>0</v>
      </c>
      <c r="F39" s="32" t="str">
        <f t="shared" si="1"/>
        <v/>
      </c>
    </row>
    <row r="40" spans="1:6" ht="15" customHeight="1" x14ac:dyDescent="0.55000000000000004">
      <c r="A40" s="29" t="s">
        <v>84</v>
      </c>
      <c r="B40" s="59">
        <f>'Data Input'!B41</f>
        <v>0</v>
      </c>
      <c r="C40" s="59">
        <f>'Data Input'!C41</f>
        <v>0</v>
      </c>
      <c r="D40" s="59">
        <f>'Data Input'!D41</f>
        <v>0</v>
      </c>
      <c r="E40" s="34">
        <f t="shared" si="0"/>
        <v>0</v>
      </c>
      <c r="F40" s="32" t="str">
        <f t="shared" si="1"/>
        <v/>
      </c>
    </row>
    <row r="41" spans="1:6" ht="15" customHeight="1" x14ac:dyDescent="0.55000000000000004">
      <c r="A41" s="29" t="s">
        <v>85</v>
      </c>
      <c r="B41" s="59">
        <f>'Data Input'!B42</f>
        <v>0</v>
      </c>
      <c r="C41" s="59">
        <f>'Data Input'!C42</f>
        <v>0</v>
      </c>
      <c r="D41" s="59">
        <f>'Data Input'!D42</f>
        <v>0</v>
      </c>
      <c r="E41" s="34">
        <f t="shared" si="0"/>
        <v>0</v>
      </c>
      <c r="F41" s="32" t="str">
        <f t="shared" si="1"/>
        <v/>
      </c>
    </row>
    <row r="42" spans="1:6" ht="15" customHeight="1" x14ac:dyDescent="0.55000000000000004">
      <c r="A42" s="29" t="s">
        <v>86</v>
      </c>
      <c r="B42" s="59">
        <f>'Data Input'!B43</f>
        <v>0</v>
      </c>
      <c r="C42" s="59">
        <f>'Data Input'!C43</f>
        <v>0</v>
      </c>
      <c r="D42" s="59">
        <f>'Data Input'!D43</f>
        <v>0</v>
      </c>
      <c r="E42" s="34">
        <f t="shared" si="0"/>
        <v>0</v>
      </c>
      <c r="F42" s="32" t="str">
        <f t="shared" si="1"/>
        <v/>
      </c>
    </row>
    <row r="43" spans="1:6" ht="15" customHeight="1" x14ac:dyDescent="0.55000000000000004">
      <c r="A43" s="29" t="s">
        <v>87</v>
      </c>
      <c r="B43" s="59">
        <f>'Data Input'!B44</f>
        <v>0</v>
      </c>
      <c r="C43" s="59">
        <f>'Data Input'!C44</f>
        <v>0</v>
      </c>
      <c r="D43" s="59">
        <f>'Data Input'!D44</f>
        <v>0</v>
      </c>
      <c r="E43" s="34">
        <f t="shared" si="0"/>
        <v>0</v>
      </c>
      <c r="F43" s="32" t="str">
        <f t="shared" si="1"/>
        <v/>
      </c>
    </row>
    <row r="44" spans="1:6" ht="15" customHeight="1" x14ac:dyDescent="0.55000000000000004">
      <c r="A44" s="29" t="s">
        <v>88</v>
      </c>
      <c r="B44" s="59">
        <f>'Data Input'!B45</f>
        <v>0</v>
      </c>
      <c r="C44" s="59">
        <f>'Data Input'!C45</f>
        <v>0</v>
      </c>
      <c r="D44" s="59">
        <f>'Data Input'!D45</f>
        <v>0</v>
      </c>
      <c r="E44" s="34">
        <f t="shared" si="0"/>
        <v>0</v>
      </c>
      <c r="F44" s="32" t="str">
        <f t="shared" si="1"/>
        <v/>
      </c>
    </row>
    <row r="45" spans="1:6" ht="15" customHeight="1" x14ac:dyDescent="0.55000000000000004"/>
    <row r="46" spans="1:6" ht="15" customHeight="1" x14ac:dyDescent="0.55000000000000004">
      <c r="A46" s="28" t="s">
        <v>219</v>
      </c>
    </row>
    <row r="47" spans="1:6" ht="15" customHeight="1" x14ac:dyDescent="0.55000000000000004">
      <c r="A47" s="30" t="s">
        <v>90</v>
      </c>
      <c r="B47" s="32">
        <f>IF(COUNT(F15:F44)=0,"",MIN(F15:F44))</f>
        <v>1.3399986147665883</v>
      </c>
    </row>
    <row r="48" spans="1:6" ht="15" customHeight="1" x14ac:dyDescent="0.55000000000000004">
      <c r="A48" s="30" t="s">
        <v>91</v>
      </c>
      <c r="B48" s="32">
        <f>IF(COUNT(F15:F44)=0,"",AVERAGE(F15:F44))</f>
        <v>1.5200001885078414</v>
      </c>
    </row>
    <row r="49" spans="1:4" ht="15" customHeight="1" x14ac:dyDescent="0.55000000000000004">
      <c r="A49" s="29" t="s">
        <v>92</v>
      </c>
      <c r="B49" s="35">
        <f>COUNT(F15:F44)</f>
        <v>14</v>
      </c>
    </row>
    <row r="50" spans="1:4" ht="15" customHeight="1" x14ac:dyDescent="0.55000000000000004">
      <c r="A50" s="27" t="s">
        <v>220</v>
      </c>
    </row>
    <row r="52" spans="1:4" ht="15" customHeight="1" x14ac:dyDescent="0.55000000000000004">
      <c r="A52" s="28" t="s">
        <v>221</v>
      </c>
    </row>
    <row r="53" spans="1:4" ht="15" customHeight="1" x14ac:dyDescent="0.55000000000000004">
      <c r="A53" s="30" t="s">
        <v>222</v>
      </c>
      <c r="B53" s="58">
        <f>'Data Input'!B54</f>
        <v>0.31</v>
      </c>
    </row>
    <row r="54" spans="1:4" ht="15" customHeight="1" x14ac:dyDescent="0.55000000000000004">
      <c r="A54" s="30" t="s">
        <v>223</v>
      </c>
      <c r="B54" s="57" t="str">
        <f>'Data Input'!B55</f>
        <v>Attested as P90</v>
      </c>
    </row>
    <row r="55" spans="1:4" ht="15" customHeight="1" x14ac:dyDescent="0.55000000000000004">
      <c r="A55" s="29" t="s">
        <v>224</v>
      </c>
      <c r="B55" s="57" t="str">
        <f>'Data Input'!B56</f>
        <v>Vortex P90 wind resource assessment, 05-02-2026</v>
      </c>
    </row>
    <row r="56" spans="1:4" ht="15" customHeight="1" x14ac:dyDescent="0.55000000000000004">
      <c r="A56" s="29" t="s">
        <v>225</v>
      </c>
      <c r="B56" s="57" t="str">
        <f>'Data Input'!B57</f>
        <v>S. Tirumela, 30-07-2026</v>
      </c>
    </row>
    <row r="57" spans="1:4" ht="15" customHeight="1" x14ac:dyDescent="0.55000000000000004">
      <c r="A57" s="29" t="s">
        <v>226</v>
      </c>
      <c r="B57" s="31" t="str">
        <f>'Data Input'!B58</f>
        <v>Satisfied</v>
      </c>
    </row>
    <row r="58" spans="1:4" ht="15" customHeight="1" x14ac:dyDescent="0.55000000000000004">
      <c r="A58" s="42" t="s">
        <v>227</v>
      </c>
    </row>
    <row r="60" spans="1:4" ht="15" customHeight="1" x14ac:dyDescent="0.55000000000000004">
      <c r="A60" s="28" t="s">
        <v>228</v>
      </c>
    </row>
    <row r="61" spans="1:4" ht="15" customHeight="1" x14ac:dyDescent="0.55000000000000004">
      <c r="A61" s="27" t="s">
        <v>229</v>
      </c>
    </row>
    <row r="62" spans="1:4" ht="23.25" customHeight="1" x14ac:dyDescent="0.55000000000000004">
      <c r="A62" s="33" t="s">
        <v>106</v>
      </c>
      <c r="B62" s="33" t="s">
        <v>107</v>
      </c>
      <c r="C62" s="33" t="s">
        <v>108</v>
      </c>
      <c r="D62" s="33" t="s">
        <v>109</v>
      </c>
    </row>
    <row r="63" spans="1:4" ht="15" customHeight="1" x14ac:dyDescent="0.55000000000000004">
      <c r="A63" s="29" t="s">
        <v>230</v>
      </c>
      <c r="B63" s="34">
        <f>IF(COUNT(B15:B44)=0,"",SUM(B15:B44))</f>
        <v>56312.84</v>
      </c>
      <c r="C63" s="59" t="str">
        <f>'Data Input'!C64</f>
        <v/>
      </c>
      <c r="D63" s="36" t="str">
        <f>'Data Input'!D64</f>
        <v/>
      </c>
    </row>
    <row r="64" spans="1:4" ht="15" customHeight="1" x14ac:dyDescent="0.55000000000000004">
      <c r="A64" s="29" t="s">
        <v>231</v>
      </c>
      <c r="B64" s="31" t="str">
        <f>'Data Input'!B65</f>
        <v>Not applicable — single route used</v>
      </c>
    </row>
    <row r="65" spans="1:2" ht="15" customHeight="1" x14ac:dyDescent="0.55000000000000004">
      <c r="A65" s="27" t="s">
        <v>232</v>
      </c>
    </row>
    <row r="67" spans="1:2" ht="15" customHeight="1" x14ac:dyDescent="0.55000000000000004">
      <c r="A67" s="28" t="s">
        <v>233</v>
      </c>
    </row>
    <row r="68" spans="1:2" ht="15" customHeight="1" x14ac:dyDescent="0.55000000000000004">
      <c r="A68" s="29" t="s">
        <v>114</v>
      </c>
      <c r="B68" s="59">
        <f>'Data Input'!B68</f>
        <v>38000</v>
      </c>
    </row>
    <row r="69" spans="1:2" ht="15" customHeight="1" x14ac:dyDescent="0.55000000000000004">
      <c r="A69" s="29" t="s">
        <v>115</v>
      </c>
      <c r="B69" s="59">
        <f>'Data Input'!B69</f>
        <v>29500</v>
      </c>
    </row>
    <row r="70" spans="1:2" ht="15" customHeight="1" x14ac:dyDescent="0.55000000000000004">
      <c r="A70" s="29" t="s">
        <v>234</v>
      </c>
      <c r="B70" s="37">
        <f>'C - Financial'!B44</f>
        <v>1600</v>
      </c>
    </row>
    <row r="71" spans="1:2" ht="15" customHeight="1" x14ac:dyDescent="0.55000000000000004">
      <c r="A71" s="30" t="s">
        <v>121</v>
      </c>
      <c r="B71" s="59">
        <f>'Data Input'!B74</f>
        <v>22500</v>
      </c>
    </row>
    <row r="72" spans="1:2" ht="15" customHeight="1" x14ac:dyDescent="0.55000000000000004">
      <c r="A72" s="29" t="s">
        <v>235</v>
      </c>
      <c r="B72" s="58">
        <f>'Data Input'!B70</f>
        <v>9.8000000000000004E-2</v>
      </c>
    </row>
    <row r="73" spans="1:2" ht="15" customHeight="1" x14ac:dyDescent="0.55000000000000004">
      <c r="A73" s="29" t="s">
        <v>117</v>
      </c>
      <c r="B73" s="57" t="str">
        <f>'Data Input'!B71</f>
        <v>2026-06-30</v>
      </c>
    </row>
    <row r="74" spans="1:2" ht="15" customHeight="1" x14ac:dyDescent="0.55000000000000004">
      <c r="A74" s="29" t="s">
        <v>119</v>
      </c>
      <c r="B74" s="60">
        <f>'Data Input'!B72</f>
        <v>19</v>
      </c>
    </row>
    <row r="75" spans="1:2" ht="15" customHeight="1" x14ac:dyDescent="0.55000000000000004">
      <c r="A75" s="29" t="s">
        <v>120</v>
      </c>
      <c r="B75" s="60">
        <f>'Data Input'!B73</f>
        <v>14</v>
      </c>
    </row>
    <row r="77" spans="1:2" ht="15" customHeight="1" x14ac:dyDescent="0.55000000000000004">
      <c r="A77" s="29" t="s">
        <v>139</v>
      </c>
      <c r="B77" s="32">
        <f>IF(OR(B71="",B71=0),"",(B68+B70)/B71)</f>
        <v>1.76</v>
      </c>
    </row>
    <row r="78" spans="1:2" ht="15" customHeight="1" x14ac:dyDescent="0.55000000000000004">
      <c r="A78" s="29" t="s">
        <v>141</v>
      </c>
      <c r="B78" s="32">
        <f>IF(OR(B71="",B71=0),"",(B69+B70)/B71)</f>
        <v>1.3822222222222222</v>
      </c>
    </row>
    <row r="79" spans="1:2" ht="15" customHeight="1" x14ac:dyDescent="0.55000000000000004">
      <c r="A79" s="27" t="s">
        <v>236</v>
      </c>
    </row>
    <row r="80" spans="1:2" ht="15" customHeight="1" x14ac:dyDescent="0.55000000000000004">
      <c r="A80" s="27" t="s">
        <v>237</v>
      </c>
    </row>
    <row r="82" spans="1:9" ht="15" customHeight="1" x14ac:dyDescent="0.55000000000000004">
      <c r="A82" s="28" t="s">
        <v>238</v>
      </c>
    </row>
    <row r="83" spans="1:9" ht="15" customHeight="1" x14ac:dyDescent="0.55000000000000004">
      <c r="A83" s="33" t="s">
        <v>128</v>
      </c>
      <c r="B83" s="33" t="s">
        <v>129</v>
      </c>
      <c r="C83" s="33" t="s">
        <v>130</v>
      </c>
      <c r="D83" s="33" t="s">
        <v>131</v>
      </c>
      <c r="E83" s="33" t="s">
        <v>132</v>
      </c>
      <c r="F83" s="33" t="s">
        <v>133</v>
      </c>
      <c r="G83" s="33" t="s">
        <v>134</v>
      </c>
      <c r="H83" s="33" t="s">
        <v>135</v>
      </c>
      <c r="I83" s="33" t="s">
        <v>136</v>
      </c>
    </row>
    <row r="84" spans="1:9" ht="15" customHeight="1" x14ac:dyDescent="0.55000000000000004">
      <c r="A84" s="29" t="s">
        <v>137</v>
      </c>
      <c r="B84" s="32">
        <f>B47</f>
        <v>1.3399986147665883</v>
      </c>
      <c r="C84" s="31" t="str">
        <f>$B$9</f>
        <v>Set W</v>
      </c>
      <c r="D84" s="32">
        <f>IF($B$9="Set W",1.5,IF($B$9="Set S",1.4,IF($B$9="Set H",1.45,"")))+$B$10</f>
        <v>1.5</v>
      </c>
      <c r="E84" s="32">
        <f>IF($B$9="Set W",1.3,IF($B$9="Set S",1.25,IF($B$9="Set H",1.28,"")))+$B$10</f>
        <v>1.3</v>
      </c>
      <c r="F84" s="32">
        <f>IF($B$9="Set W",1.15,IF($B$9="Set S",1.12,IF($B$9="Set H",1.14,"")))+$B$10</f>
        <v>1.1499999999999999</v>
      </c>
      <c r="G84" s="32">
        <f>1+$B$10</f>
        <v>1</v>
      </c>
      <c r="H84" s="31" t="str">
        <f>IF(B84="","",IF(B84&gt;=D84,"Full",IF(B84&gt;=E84,"Strong",IF(B84&gt;=F84,"Adequate",IF(B84&gt;=G84,"Weak","Deficient")))))</f>
        <v>Strong</v>
      </c>
      <c r="I84" s="38">
        <f>IF(B84="","",IF(B84&gt;=D84,15,IF(B84&gt;=E84,11,IF(B84&gt;=F84,7,IF(B84&gt;=G84,3,0)))))</f>
        <v>11</v>
      </c>
    </row>
    <row r="85" spans="1:9" ht="15" customHeight="1" x14ac:dyDescent="0.55000000000000004">
      <c r="A85" s="29" t="s">
        <v>138</v>
      </c>
      <c r="B85" s="32">
        <f>B48</f>
        <v>1.5200001885078414</v>
      </c>
      <c r="C85" s="31" t="str">
        <f>$B$9</f>
        <v>Set W</v>
      </c>
      <c r="D85" s="32">
        <f>IF($B$9="Set W",1.7,IF($B$9="Set S",1.6,IF($B$9="Set H",1.65,"")))+$B$10</f>
        <v>1.7</v>
      </c>
      <c r="E85" s="32">
        <f>IF($B$9="Set W",1.5,IF($B$9="Set S",1.42,IF($B$9="Set H",1.46,"")))+$B$10</f>
        <v>1.5</v>
      </c>
      <c r="F85" s="32">
        <f>IF($B$9="Set W",1.3,IF($B$9="Set S",1.25,IF($B$9="Set H",1.28,"")))+$B$10</f>
        <v>1.3</v>
      </c>
      <c r="G85" s="32">
        <f>IF($B$9="Set W",1.15,IF($B$9="Set S",1.12,IF($B$9="Set H",1.14,"")))+$B$10</f>
        <v>1.1499999999999999</v>
      </c>
      <c r="H85" s="31" t="str">
        <f>IF(B85="","",IF(B85&gt;=D85,"Full",IF(B85&gt;=E85,"Strong",IF(B85&gt;=F85,"Adequate",IF(B85&gt;=G85,"Weak","Deficient")))))</f>
        <v>Strong</v>
      </c>
      <c r="I85" s="38">
        <f>IF(B85="","",IF(B85&gt;=D85,8,IF(B85&gt;=E85,6,IF(B85&gt;=F85,4,IF(B85&gt;=G85,2,0)))))</f>
        <v>6</v>
      </c>
    </row>
    <row r="86" spans="1:9" ht="15" customHeight="1" x14ac:dyDescent="0.55000000000000004">
      <c r="A86" s="29" t="s">
        <v>139</v>
      </c>
      <c r="B86" s="32">
        <f>B77</f>
        <v>1.76</v>
      </c>
      <c r="C86" s="29" t="s">
        <v>140</v>
      </c>
      <c r="D86" s="32">
        <v>2</v>
      </c>
      <c r="E86" s="32">
        <v>1.6</v>
      </c>
      <c r="F86" s="32">
        <v>1.3</v>
      </c>
      <c r="G86" s="32">
        <v>1.1000000000000001</v>
      </c>
      <c r="H86" s="31" t="str">
        <f>IF(B86="","",IF(B86&gt;=D86,"Full",IF(B86&gt;=E86,"Strong",IF(B86&gt;=F86,"Adequate",IF(B86&gt;=G86,"Weak","Deficient")))))</f>
        <v>Strong</v>
      </c>
      <c r="I86" s="38">
        <f>IF(B86="","",IF(B86&gt;=D86,6,IF(B86&gt;=E86,4.5,IF(B86&gt;=F86,3,IF(B86&gt;=G86,1.5,0)))))</f>
        <v>4.5</v>
      </c>
    </row>
    <row r="87" spans="1:9" ht="15" customHeight="1" x14ac:dyDescent="0.55000000000000004">
      <c r="A87" s="29" t="s">
        <v>141</v>
      </c>
      <c r="B87" s="32">
        <f>B78</f>
        <v>1.3822222222222222</v>
      </c>
      <c r="C87" s="29" t="s">
        <v>140</v>
      </c>
      <c r="D87" s="32">
        <v>1.8</v>
      </c>
      <c r="E87" s="32">
        <v>1.5</v>
      </c>
      <c r="F87" s="32">
        <v>1.2</v>
      </c>
      <c r="G87" s="32">
        <v>1.05</v>
      </c>
      <c r="H87" s="31" t="str">
        <f>IF(B87="","",IF(B87&gt;=D87,"Full",IF(B87&gt;=E87,"Strong",IF(B87&gt;=F87,"Adequate",IF(B87&gt;=G87,"Weak","Deficient")))))</f>
        <v>Adequate</v>
      </c>
      <c r="I87" s="38">
        <f>IF(B87="","",IF(B87&gt;=D87,6,IF(B87&gt;=E87,4.5,IF(B87&gt;=F87,3,IF(B87&gt;=G87,1.5,0)))))</f>
        <v>3</v>
      </c>
    </row>
    <row r="88" spans="1:9" ht="15" customHeight="1" x14ac:dyDescent="0.55000000000000004">
      <c r="A88" s="30" t="s">
        <v>239</v>
      </c>
      <c r="B88" s="38">
        <f>IF(COUNT(I84:I87)=0,"",SUM(I84:I87))</f>
        <v>24.5</v>
      </c>
    </row>
    <row r="89" spans="1:9" ht="15" customHeight="1" x14ac:dyDescent="0.55000000000000004">
      <c r="A89" s="27" t="s">
        <v>240</v>
      </c>
    </row>
    <row r="90" spans="1:9" ht="15" customHeight="1" x14ac:dyDescent="0.55000000000000004">
      <c r="A90" s="27" t="s">
        <v>241</v>
      </c>
    </row>
    <row r="91" spans="1:9" ht="15" customHeight="1" x14ac:dyDescent="0.55000000000000004">
      <c r="A91" s="39" t="str">
        <f>IF(B47="","",IF(B47&lt;1,"COVERAGE FLOOR TRIGGERED — final band capped at BB (CORE Section 8.3)","Coverage floor not triggered"))</f>
        <v>Coverage floor not triggered</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H58"/>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8359375" defaultRowHeight="14.4" x14ac:dyDescent="0.55000000000000004"/>
  <cols>
    <col min="1" max="1" width="68" customWidth="1"/>
    <col min="2" max="3" width="18" customWidth="1"/>
    <col min="4" max="4" width="20" customWidth="1"/>
    <col min="5" max="5" width="18" customWidth="1"/>
  </cols>
  <sheetData>
    <row r="1" spans="1:3" ht="19.5" customHeight="1" x14ac:dyDescent="0.6">
      <c r="A1" s="26" t="s">
        <v>242</v>
      </c>
    </row>
    <row r="2" spans="1:3" ht="15" customHeight="1" x14ac:dyDescent="0.55000000000000004">
      <c r="A2" s="27" t="s">
        <v>243</v>
      </c>
    </row>
    <row r="3" spans="1:3" ht="15" customHeight="1" x14ac:dyDescent="0.55000000000000004">
      <c r="A3" s="29" t="s">
        <v>214</v>
      </c>
      <c r="B3" s="57" t="s">
        <v>41</v>
      </c>
    </row>
    <row r="4" spans="1:3" ht="42" customHeight="1" x14ac:dyDescent="0.55000000000000004">
      <c r="A4" s="54" t="s">
        <v>212</v>
      </c>
    </row>
    <row r="5" spans="1:3" ht="15" customHeight="1" x14ac:dyDescent="0.55000000000000004">
      <c r="A5" s="28" t="s">
        <v>244</v>
      </c>
    </row>
    <row r="6" spans="1:3" ht="54" customHeight="1" x14ac:dyDescent="0.55000000000000004">
      <c r="A6" s="40" t="s">
        <v>245</v>
      </c>
    </row>
    <row r="7" spans="1:3" ht="15" customHeight="1" x14ac:dyDescent="0.55000000000000004">
      <c r="A7" s="33" t="s">
        <v>148</v>
      </c>
      <c r="B7" s="33" t="s">
        <v>149</v>
      </c>
      <c r="C7" s="33" t="s">
        <v>150</v>
      </c>
    </row>
    <row r="8" spans="1:3" ht="15" customHeight="1" x14ac:dyDescent="0.55000000000000004">
      <c r="A8" s="29" t="s">
        <v>246</v>
      </c>
      <c r="B8" s="59">
        <f>'Data Input'!B94</f>
        <v>20000</v>
      </c>
      <c r="C8" s="57" t="str">
        <f>'Data Input'!C94</f>
        <v>Debt</v>
      </c>
    </row>
    <row r="9" spans="1:3" ht="15" customHeight="1" x14ac:dyDescent="0.55000000000000004">
      <c r="A9" s="29" t="s">
        <v>247</v>
      </c>
      <c r="B9" s="59">
        <f>'Data Input'!B95</f>
        <v>1500</v>
      </c>
      <c r="C9" s="57" t="str">
        <f>'Data Input'!C95</f>
        <v>Debt</v>
      </c>
    </row>
    <row r="10" spans="1:3" ht="15" customHeight="1" x14ac:dyDescent="0.55000000000000004">
      <c r="A10" s="29" t="s">
        <v>248</v>
      </c>
      <c r="B10" s="59">
        <f>'Data Input'!B96</f>
        <v>1000</v>
      </c>
      <c r="C10" s="57" t="str">
        <f>'Data Input'!C96</f>
        <v>Equity</v>
      </c>
    </row>
    <row r="11" spans="1:3" ht="15" customHeight="1" x14ac:dyDescent="0.55000000000000004">
      <c r="A11" s="29" t="s">
        <v>156</v>
      </c>
      <c r="B11" s="59">
        <f>'Data Input'!B97</f>
        <v>0</v>
      </c>
      <c r="C11" s="57">
        <f>'Data Input'!C97</f>
        <v>0</v>
      </c>
    </row>
    <row r="12" spans="1:3" ht="15" customHeight="1" x14ac:dyDescent="0.55000000000000004">
      <c r="A12" s="29" t="s">
        <v>157</v>
      </c>
      <c r="B12" s="59">
        <f>'Data Input'!B98</f>
        <v>0</v>
      </c>
      <c r="C12" s="57">
        <f>'Data Input'!C98</f>
        <v>0</v>
      </c>
    </row>
    <row r="13" spans="1:3" ht="15" customHeight="1" x14ac:dyDescent="0.55000000000000004">
      <c r="A13" s="29" t="s">
        <v>153</v>
      </c>
      <c r="B13" s="59">
        <f>'Data Input'!B99</f>
        <v>0</v>
      </c>
      <c r="C13" s="57">
        <f>'Data Input'!C99</f>
        <v>0</v>
      </c>
    </row>
    <row r="14" spans="1:3" ht="15" customHeight="1" x14ac:dyDescent="0.55000000000000004">
      <c r="A14" s="29" t="s">
        <v>158</v>
      </c>
      <c r="B14" s="59">
        <f>'Data Input'!B100</f>
        <v>0</v>
      </c>
      <c r="C14" s="57">
        <f>'Data Input'!C100</f>
        <v>0</v>
      </c>
    </row>
    <row r="15" spans="1:3" ht="21.75" customHeight="1" x14ac:dyDescent="0.55000000000000004">
      <c r="A15" s="29" t="s">
        <v>159</v>
      </c>
      <c r="B15" s="59">
        <f>'Data Input'!B101</f>
        <v>0</v>
      </c>
      <c r="C15" s="57">
        <f>'Data Input'!C101</f>
        <v>0</v>
      </c>
    </row>
    <row r="16" spans="1:3" ht="15" customHeight="1" x14ac:dyDescent="0.55000000000000004">
      <c r="A16" s="30" t="s">
        <v>249</v>
      </c>
      <c r="B16" s="34">
        <f>SUMIF(C8:C15,"Debt",B8:B15)</f>
        <v>21500</v>
      </c>
    </row>
    <row r="17" spans="1:2" ht="15" customHeight="1" x14ac:dyDescent="0.55000000000000004">
      <c r="A17" s="29" t="s">
        <v>161</v>
      </c>
      <c r="B17" s="34">
        <f>SUMIF(C8:C15,"Equity",B8:B15)</f>
        <v>1000</v>
      </c>
    </row>
    <row r="18" spans="1:2" ht="15" customHeight="1" x14ac:dyDescent="0.55000000000000004"/>
    <row r="19" spans="1:2" ht="23.25" customHeight="1" x14ac:dyDescent="0.55000000000000004">
      <c r="A19" s="28" t="s">
        <v>250</v>
      </c>
    </row>
    <row r="20" spans="1:2" ht="23.25" customHeight="1" x14ac:dyDescent="0.55000000000000004">
      <c r="A20" s="29" t="s">
        <v>163</v>
      </c>
      <c r="B20" s="59">
        <f>'Data Input'!B106</f>
        <v>6000</v>
      </c>
    </row>
    <row r="21" spans="1:2" ht="15" customHeight="1" x14ac:dyDescent="0.55000000000000004">
      <c r="A21" s="29" t="s">
        <v>164</v>
      </c>
      <c r="B21" s="59">
        <f>'Data Input'!B107</f>
        <v>2000</v>
      </c>
    </row>
    <row r="22" spans="1:2" ht="15" customHeight="1" x14ac:dyDescent="0.55000000000000004">
      <c r="A22" s="29" t="s">
        <v>165</v>
      </c>
      <c r="B22" s="59">
        <f>'Data Input'!B108</f>
        <v>500</v>
      </c>
    </row>
    <row r="23" spans="1:2" ht="15" customHeight="1" x14ac:dyDescent="0.55000000000000004">
      <c r="A23" s="29" t="s">
        <v>251</v>
      </c>
      <c r="B23" s="34">
        <f>B17</f>
        <v>1000</v>
      </c>
    </row>
    <row r="24" spans="1:2" ht="15" customHeight="1" x14ac:dyDescent="0.55000000000000004">
      <c r="A24" s="29" t="s">
        <v>167</v>
      </c>
      <c r="B24" s="59">
        <f>'Data Input'!B110</f>
        <v>100</v>
      </c>
    </row>
    <row r="25" spans="1:2" ht="21.75" customHeight="1" x14ac:dyDescent="0.55000000000000004">
      <c r="A25" s="29" t="s">
        <v>168</v>
      </c>
      <c r="B25" s="59">
        <f>'Data Input'!B111</f>
        <v>0</v>
      </c>
    </row>
    <row r="26" spans="1:2" ht="15" customHeight="1" x14ac:dyDescent="0.55000000000000004">
      <c r="A26" s="29" t="s">
        <v>169</v>
      </c>
      <c r="B26" s="59">
        <f>'Data Input'!B112</f>
        <v>52</v>
      </c>
    </row>
    <row r="27" spans="1:2" ht="15" customHeight="1" x14ac:dyDescent="0.55000000000000004">
      <c r="A27" s="29" t="s">
        <v>170</v>
      </c>
      <c r="B27" s="59">
        <f>'Data Input'!B113</f>
        <v>0</v>
      </c>
    </row>
    <row r="28" spans="1:2" ht="15" customHeight="1" x14ac:dyDescent="0.55000000000000004">
      <c r="A28" s="30" t="s">
        <v>252</v>
      </c>
      <c r="B28" s="34">
        <f>SUM(B20:B23)-SUM(B24:B27)</f>
        <v>9348</v>
      </c>
    </row>
    <row r="30" spans="1:2" ht="15" customHeight="1" x14ac:dyDescent="0.55000000000000004">
      <c r="A30" s="28" t="s">
        <v>253</v>
      </c>
    </row>
    <row r="31" spans="1:2" ht="15" customHeight="1" x14ac:dyDescent="0.55000000000000004">
      <c r="A31" s="29" t="s">
        <v>174</v>
      </c>
      <c r="B31" s="59">
        <f>'Data Input'!B118</f>
        <v>3548</v>
      </c>
    </row>
    <row r="32" spans="1:2" ht="15" customHeight="1" x14ac:dyDescent="0.55000000000000004">
      <c r="A32" s="29" t="s">
        <v>254</v>
      </c>
      <c r="B32" s="36">
        <f>IF(OR(B16="",B16=0),"",B31/B16)</f>
        <v>0.1650232558139535</v>
      </c>
    </row>
    <row r="33" spans="1:2" ht="15" customHeight="1" x14ac:dyDescent="0.55000000000000004">
      <c r="A33" s="30" t="s">
        <v>255</v>
      </c>
      <c r="B33" s="32">
        <f>IF(COUNT(B20:B22)=0,"",IF(B28&lt;=0,0,B16/B28))</f>
        <v>2.2999572100984169</v>
      </c>
    </row>
    <row r="34" spans="1:2" ht="42" customHeight="1" x14ac:dyDescent="0.55000000000000004">
      <c r="A34" s="40" t="s">
        <v>256</v>
      </c>
    </row>
    <row r="35" spans="1:2" ht="15" customHeight="1" x14ac:dyDescent="0.55000000000000004">
      <c r="A35" s="39" t="str">
        <f>IF(COUNT(B20:B22)=0,"",IF(B28&lt;=0,"WARN — tangible net worth is nil or negative; CORE Section 5.2 scores 0 and the result is flagged (validation rule V9)",""))</f>
        <v/>
      </c>
    </row>
    <row r="37" spans="1:2" ht="15" customHeight="1" x14ac:dyDescent="0.55000000000000004">
      <c r="A37" s="28" t="s">
        <v>257</v>
      </c>
    </row>
    <row r="38" spans="1:2" ht="15" customHeight="1" x14ac:dyDescent="0.55000000000000004">
      <c r="A38" s="29" t="s">
        <v>179</v>
      </c>
      <c r="B38" s="59">
        <f>'Data Input'!B124</f>
        <v>1350</v>
      </c>
    </row>
    <row r="39" spans="1:2" ht="15" customHeight="1" x14ac:dyDescent="0.55000000000000004">
      <c r="A39" s="29" t="s">
        <v>258</v>
      </c>
      <c r="B39" s="59">
        <f>'Data Input'!B125</f>
        <v>0</v>
      </c>
    </row>
    <row r="40" spans="1:2" ht="15" customHeight="1" x14ac:dyDescent="0.55000000000000004">
      <c r="A40" s="29" t="s">
        <v>181</v>
      </c>
      <c r="B40" s="59">
        <f>'Data Input'!B126</f>
        <v>250</v>
      </c>
    </row>
    <row r="41" spans="1:2" ht="15" customHeight="1" x14ac:dyDescent="0.55000000000000004">
      <c r="A41" s="29" t="s">
        <v>259</v>
      </c>
      <c r="B41" s="59">
        <f>'Data Input'!B127</f>
        <v>0</v>
      </c>
    </row>
    <row r="42" spans="1:2" ht="15" customHeight="1" x14ac:dyDescent="0.55000000000000004">
      <c r="A42" s="29" t="s">
        <v>183</v>
      </c>
      <c r="B42" s="59">
        <f>'Data Input'!B128</f>
        <v>180</v>
      </c>
    </row>
    <row r="43" spans="1:2" ht="15" customHeight="1" x14ac:dyDescent="0.55000000000000004">
      <c r="A43" s="29" t="s">
        <v>260</v>
      </c>
      <c r="B43" s="34">
        <f>IF(B38="","",MAX(0,B38-B39))</f>
        <v>1350</v>
      </c>
    </row>
    <row r="44" spans="1:2" ht="15" customHeight="1" x14ac:dyDescent="0.55000000000000004">
      <c r="A44" s="30" t="s">
        <v>261</v>
      </c>
      <c r="B44" s="34">
        <f>IF(B38="","",MAX(0,B38-B39)+MAX(0,B40-B41))</f>
        <v>1600</v>
      </c>
    </row>
    <row r="45" spans="1:2" ht="15" customHeight="1" x14ac:dyDescent="0.55000000000000004">
      <c r="A45" s="29" t="s">
        <v>262</v>
      </c>
      <c r="B45" s="38">
        <f>IF(OR(B42="",B42=0,B43=""),"",B43/B42)</f>
        <v>7.5</v>
      </c>
    </row>
    <row r="46" spans="1:2" ht="15" customHeight="1" x14ac:dyDescent="0.55000000000000004">
      <c r="A46" s="29" t="s">
        <v>263</v>
      </c>
      <c r="B46" s="31" t="str">
        <f>IF(B45="","",IF(B45&gt;=12,"Superior",IF(B45&gt;=9,"Strong",IF(B45&gt;=6,"Adequate",IF(B45&gt;=3,"Stretched","Poor")))))</f>
        <v>Adequate</v>
      </c>
    </row>
    <row r="47" spans="1:2" ht="15" customHeight="1" x14ac:dyDescent="0.55000000000000004">
      <c r="A47" s="29" t="s">
        <v>264</v>
      </c>
      <c r="B47" s="38">
        <f>IF(B45="","",IF(B45&gt;=12,7,IF(B45&gt;=9,5.5,IF(B45&gt;=6,4,IF(B45&gt;=3,2,0)))))</f>
        <v>4</v>
      </c>
    </row>
    <row r="48" spans="1:2" ht="42" customHeight="1" x14ac:dyDescent="0.55000000000000004">
      <c r="A48" s="42" t="s">
        <v>189</v>
      </c>
    </row>
    <row r="50" spans="1:8" ht="15" customHeight="1" x14ac:dyDescent="0.55000000000000004">
      <c r="A50" s="28" t="s">
        <v>265</v>
      </c>
    </row>
    <row r="51" spans="1:8" ht="23.25" customHeight="1" x14ac:dyDescent="0.55000000000000004">
      <c r="A51" s="33" t="s">
        <v>128</v>
      </c>
      <c r="B51" s="33" t="s">
        <v>129</v>
      </c>
      <c r="C51" s="33" t="s">
        <v>191</v>
      </c>
      <c r="D51" s="33" t="s">
        <v>192</v>
      </c>
      <c r="E51" s="33" t="s">
        <v>193</v>
      </c>
      <c r="F51" s="33" t="s">
        <v>194</v>
      </c>
      <c r="G51" s="33" t="s">
        <v>135</v>
      </c>
      <c r="H51" s="33" t="s">
        <v>136</v>
      </c>
    </row>
    <row r="52" spans="1:8" ht="15" customHeight="1" x14ac:dyDescent="0.55000000000000004">
      <c r="A52" s="29" t="s">
        <v>195</v>
      </c>
      <c r="B52" s="36">
        <f>B32</f>
        <v>0.1650232558139535</v>
      </c>
      <c r="C52" s="36">
        <v>0.25</v>
      </c>
      <c r="D52" s="36">
        <v>0.15</v>
      </c>
      <c r="E52" s="36">
        <v>0.08</v>
      </c>
      <c r="F52" s="36">
        <v>0.03</v>
      </c>
      <c r="G52" s="31" t="str">
        <f>IF(B52="","",IF(B52&gt;=C52,"Full",IF(B52&gt;=D52,"Strong",IF(B52&gt;=E52,"Adequate",IF(B52&gt;=F52,"Weak","Deficient")))))</f>
        <v>Strong</v>
      </c>
      <c r="H52" s="38">
        <f>IF(B52="","",IF(B52&gt;=C52,10,IF(B52&gt;=D52,7.5,IF(B52&gt;=E52,5,IF(B52&gt;=F52,2.5,0)))))</f>
        <v>7.5</v>
      </c>
    </row>
    <row r="53" spans="1:8" ht="15" customHeight="1" x14ac:dyDescent="0.55000000000000004">
      <c r="A53" s="29" t="s">
        <v>266</v>
      </c>
      <c r="B53" s="32">
        <f>B33</f>
        <v>2.2999572100984169</v>
      </c>
      <c r="C53" s="32">
        <v>1.857</v>
      </c>
      <c r="D53" s="32">
        <v>2.3330000000000002</v>
      </c>
      <c r="E53" s="32">
        <v>3</v>
      </c>
      <c r="F53" s="32">
        <v>4</v>
      </c>
      <c r="G53" s="31" t="str">
        <f>IF(B53="","",IF(AND(ISNUMBER(B53),B53=0),"Deficient — nil or negative net worth",IF(B53&lt;=C53,"Full",IF(B53&lt;=D53,"Strong",IF(B53&lt;=E53,"Adequate",IF(B53&lt;=F53,"Weak","Deficient"))))))</f>
        <v>Strong</v>
      </c>
      <c r="H53" s="38">
        <f>IF(B53="","",IF(AND(ISNUMBER(B53),B53=0),0,IF(B53&lt;=C53,8,IF(B53&lt;=D53,6,IF(B53&lt;=E53,4,IF(B53&lt;=F53,2,0))))))</f>
        <v>6</v>
      </c>
    </row>
    <row r="54" spans="1:8" ht="15" customHeight="1" x14ac:dyDescent="0.55000000000000004">
      <c r="A54" s="29" t="s">
        <v>197</v>
      </c>
      <c r="B54" s="38">
        <f>B45</f>
        <v>7.5</v>
      </c>
      <c r="C54" s="38">
        <v>12</v>
      </c>
      <c r="D54" s="38">
        <v>9</v>
      </c>
      <c r="E54" s="38">
        <v>6</v>
      </c>
      <c r="F54" s="38">
        <v>3</v>
      </c>
      <c r="G54" s="31" t="str">
        <f>B46</f>
        <v>Adequate</v>
      </c>
      <c r="H54" s="38">
        <f>B47</f>
        <v>4</v>
      </c>
    </row>
    <row r="55" spans="1:8" ht="15" customHeight="1" x14ac:dyDescent="0.55000000000000004">
      <c r="A55" s="30" t="s">
        <v>267</v>
      </c>
      <c r="B55" s="38">
        <f>IF(COUNT(H52:H54)=0,"",SUM(H52:H54))</f>
        <v>17.5</v>
      </c>
    </row>
    <row r="56" spans="1:8" ht="15" customHeight="1" x14ac:dyDescent="0.55000000000000004">
      <c r="A56" s="27" t="s">
        <v>268</v>
      </c>
    </row>
    <row r="58" spans="1:8" ht="69.75" customHeight="1" x14ac:dyDescent="0.55000000000000004">
      <c r="A58" s="40" t="s">
        <v>269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D35"/>
  <sheetViews>
    <sheetView zoomScaleNormal="100" workbookViewId="0"/>
  </sheetViews>
  <sheetFormatPr defaultColWidth="8.68359375" defaultRowHeight="14.4" x14ac:dyDescent="0.55000000000000004"/>
  <cols>
    <col min="1" max="1" width="10" customWidth="1"/>
    <col min="2" max="2" width="78" customWidth="1"/>
    <col min="3" max="3" width="46" customWidth="1"/>
    <col min="4" max="4" width="30" customWidth="1"/>
  </cols>
  <sheetData>
    <row r="1" spans="1:4" ht="15.75" customHeight="1" x14ac:dyDescent="0.55000000000000004">
      <c r="A1" s="52" t="s">
        <v>270</v>
      </c>
    </row>
    <row r="2" spans="1:4" ht="15" customHeight="1" x14ac:dyDescent="0.55000000000000004">
      <c r="A2" s="42" t="s">
        <v>271</v>
      </c>
    </row>
    <row r="3" spans="1:4" ht="15" customHeight="1" x14ac:dyDescent="0.55000000000000004">
      <c r="A3" s="42" t="s">
        <v>272</v>
      </c>
    </row>
    <row r="5" spans="1:4" ht="15" customHeight="1" x14ac:dyDescent="0.55000000000000004">
      <c r="A5" s="53" t="s">
        <v>273</v>
      </c>
    </row>
    <row r="6" spans="1:4" ht="15" customHeight="1" x14ac:dyDescent="0.55000000000000004">
      <c r="A6" s="49" t="s">
        <v>274</v>
      </c>
      <c r="B6" s="49" t="s">
        <v>201</v>
      </c>
      <c r="C6" s="49" t="s">
        <v>275</v>
      </c>
      <c r="D6" s="49" t="s">
        <v>276</v>
      </c>
    </row>
    <row r="7" spans="1:4" ht="15" customHeight="1" x14ac:dyDescent="0.55000000000000004">
      <c r="A7" t="s">
        <v>277</v>
      </c>
      <c r="B7" t="s">
        <v>278</v>
      </c>
      <c r="C7" t="str">
        <f>IF(OR('B - Cashflow'!B47="",'B - Cashflow'!B48=""),"Not Evaluated — DSCR schedule incomplete",IF('B - Cashflow'!B48&gt;='B - Cashflow'!B47,"Pass","BLOCK"))</f>
        <v>Pass</v>
      </c>
      <c r="D7" t="s">
        <v>279</v>
      </c>
    </row>
    <row r="8" spans="1:4" ht="15" customHeight="1" x14ac:dyDescent="0.55000000000000004">
      <c r="A8" t="s">
        <v>280</v>
      </c>
      <c r="B8" t="s">
        <v>281</v>
      </c>
      <c r="C8" t="str">
        <f>IF(OR('B - Cashflow'!B77="",'B - Cashflow'!B78=""),"Not Evaluated — PLCR/LLCR inputs incomplete",IF('B - Cashflow'!B77&gt;='B - Cashflow'!B78,"Pass","BLOCK"))</f>
        <v>Pass</v>
      </c>
      <c r="D8" t="s">
        <v>279</v>
      </c>
    </row>
    <row r="9" spans="1:4" ht="15" customHeight="1" x14ac:dyDescent="0.55000000000000004">
      <c r="A9" t="s">
        <v>282</v>
      </c>
      <c r="B9" t="s">
        <v>283</v>
      </c>
      <c r="C9" t="s">
        <v>284</v>
      </c>
      <c r="D9" t="s">
        <v>279</v>
      </c>
    </row>
    <row r="10" spans="1:4" ht="15" customHeight="1" x14ac:dyDescent="0.55000000000000004">
      <c r="A10" t="s">
        <v>285</v>
      </c>
      <c r="B10" t="s">
        <v>286</v>
      </c>
      <c r="C10" t="str">
        <f>IF('B - Cashflow'!C63="","Not applicable — single route used",IF(MAX('Data Input'!E16:E45)&lt;=0.02,"Pass","BLOCK — at least one period exceeds 2%"))</f>
        <v>Not applicable — single route used</v>
      </c>
      <c r="D10" t="s">
        <v>279</v>
      </c>
    </row>
    <row r="11" spans="1:4" ht="15" customHeight="1" x14ac:dyDescent="0.55000000000000004">
      <c r="A11" t="s">
        <v>287</v>
      </c>
      <c r="B11" t="s">
        <v>288</v>
      </c>
      <c r="C11" t="str">
        <f>IF('C - Financial'!B38="","Not Evaluated — DSRA not entered",IF('C - Financial'!B39&lt;='C - Financial'!B38,"Pass","BLOCK"))</f>
        <v>Pass</v>
      </c>
      <c r="D11" t="s">
        <v>279</v>
      </c>
    </row>
    <row r="12" spans="1:4" ht="15" customHeight="1" x14ac:dyDescent="0.55000000000000004">
      <c r="A12" t="s">
        <v>289</v>
      </c>
      <c r="B12" t="s">
        <v>290</v>
      </c>
      <c r="C12" t="str">
        <f>IF('C - Financial'!B40="","Not Evaluated — other cash not entered",IF('C - Financial'!B41&lt;='C - Financial'!B40,"Pass","BLOCK"))</f>
        <v>Pass</v>
      </c>
      <c r="D12" t="s">
        <v>279</v>
      </c>
    </row>
    <row r="13" spans="1:4" ht="15" customHeight="1" x14ac:dyDescent="0.55000000000000004">
      <c r="A13" t="s">
        <v>291</v>
      </c>
      <c r="B13" t="s">
        <v>292</v>
      </c>
      <c r="C13" t="str">
        <f>IF(OR('B - Cashflow'!B47="",'B - Cashflow'!B77=""),"Not Evaluated",IF(AND('B - Cashflow'!B47&lt;1,'B - Cashflow'!B77&gt;=2),"WARN","Pass"))</f>
        <v>Pass</v>
      </c>
      <c r="D13" t="s">
        <v>293</v>
      </c>
    </row>
    <row r="14" spans="1:4" ht="15" customHeight="1" x14ac:dyDescent="0.55000000000000004">
      <c r="A14" t="s">
        <v>294</v>
      </c>
      <c r="B14" t="s">
        <v>295</v>
      </c>
      <c r="C14" t="str">
        <f>IF(OR('B - Cashflow'!B47="",'B - Cashflow'!I84=""),"Not Evaluated",IF(AND('B - Cashflow'!I84=0,'B - Cashflow'!B47&gt;=1),"WARN — 0 of 15 points on Minimum DSCR without a band cap; merchant-adjusted threshold","Pass"))</f>
        <v>Pass</v>
      </c>
      <c r="D14" t="s">
        <v>293</v>
      </c>
    </row>
    <row r="15" spans="1:4" ht="15" customHeight="1" x14ac:dyDescent="0.55000000000000004">
      <c r="A15" t="s">
        <v>296</v>
      </c>
      <c r="B15" t="s">
        <v>297</v>
      </c>
      <c r="C15" t="str">
        <f>IF(COUNT('C - Financial'!B20:B22)=0,"Not Evaluated — net worth build not entered",IF('C - Financial'!B28&lt;=0,"WARN — Section 5.2 SCORES 0 (not null); result flagged","Pass"))</f>
        <v>Pass</v>
      </c>
      <c r="D15" t="s">
        <v>293</v>
      </c>
    </row>
    <row r="16" spans="1:4" ht="15" customHeight="1" x14ac:dyDescent="0.55000000000000004">
      <c r="A16" t="s">
        <v>298</v>
      </c>
      <c r="B16" t="s">
        <v>299</v>
      </c>
      <c r="C16" t="s">
        <v>300</v>
      </c>
      <c r="D16" t="s">
        <v>279</v>
      </c>
    </row>
    <row r="17" spans="1:4" ht="15" customHeight="1" x14ac:dyDescent="0.55000000000000004">
      <c r="A17" t="s">
        <v>301</v>
      </c>
      <c r="B17" t="s">
        <v>302</v>
      </c>
      <c r="C17" t="s">
        <v>303</v>
      </c>
      <c r="D17" t="s">
        <v>293</v>
      </c>
    </row>
    <row r="18" spans="1:4" x14ac:dyDescent="0.55000000000000004">
      <c r="A18" t="s">
        <v>304</v>
      </c>
      <c r="B18" t="s">
        <v>305</v>
      </c>
      <c r="C18" t="s">
        <v>306</v>
      </c>
      <c r="D18" t="s">
        <v>279</v>
      </c>
    </row>
    <row r="19" spans="1:4" ht="15" customHeight="1" x14ac:dyDescent="0.55000000000000004">
      <c r="A19" t="s">
        <v>307</v>
      </c>
      <c r="B19" t="s">
        <v>308</v>
      </c>
      <c r="C19" t="str">
        <f>IF(COUNT('Data Input'!B94:B101)=0,"Not Evaluated — debt build not entered",IF(SUMPRODUCT(('Data Input'!B94:B101&lt;&gt;"")*('Data Input'!C94:C101=""))&gt;0,"BLOCK — an instrument carries an amount with no treatment","Pass"))</f>
        <v>Pass</v>
      </c>
      <c r="D19" t="s">
        <v>279</v>
      </c>
    </row>
    <row r="20" spans="1:4" ht="15" customHeight="1" x14ac:dyDescent="0.55000000000000004"/>
    <row r="21" spans="1:4" ht="15" customHeight="1" x14ac:dyDescent="0.55000000000000004">
      <c r="A21" s="53" t="s">
        <v>309</v>
      </c>
    </row>
    <row r="22" spans="1:4" ht="15" customHeight="1" x14ac:dyDescent="0.55000000000000004">
      <c r="A22" s="42" t="s">
        <v>310</v>
      </c>
    </row>
    <row r="23" spans="1:4" ht="15" customHeight="1" x14ac:dyDescent="0.55000000000000004">
      <c r="A23" s="49" t="s">
        <v>274</v>
      </c>
      <c r="B23" s="49" t="s">
        <v>311</v>
      </c>
      <c r="C23" s="49" t="s">
        <v>275</v>
      </c>
      <c r="D23" s="49" t="s">
        <v>276</v>
      </c>
    </row>
    <row r="24" spans="1:4" ht="15" customHeight="1" x14ac:dyDescent="0.55000000000000004">
      <c r="A24" t="s">
        <v>312</v>
      </c>
      <c r="B24" t="s">
        <v>313</v>
      </c>
      <c r="C24" t="s">
        <v>314</v>
      </c>
      <c r="D24" t="s">
        <v>315</v>
      </c>
    </row>
    <row r="25" spans="1:4" x14ac:dyDescent="0.55000000000000004">
      <c r="A25" t="s">
        <v>316</v>
      </c>
      <c r="B25" t="s">
        <v>317</v>
      </c>
      <c r="C25" t="str">
        <f>IF(AND(OR('B - Cashflow'!B88="",'B - Cashflow'!B88&lt;=35),OR('C - Financial'!B55="",'C - Financial'!B55&lt;=25)),"Pass (Blocks B and C only; A and D are engine-side)","HALT")</f>
        <v>Pass (Blocks B and C only; A and D are engine-side)</v>
      </c>
      <c r="D25" t="s">
        <v>315</v>
      </c>
    </row>
    <row r="26" spans="1:4" x14ac:dyDescent="0.55000000000000004">
      <c r="A26" t="s">
        <v>318</v>
      </c>
      <c r="B26" t="s">
        <v>319</v>
      </c>
      <c r="C26" t="s">
        <v>314</v>
      </c>
      <c r="D26" t="s">
        <v>315</v>
      </c>
    </row>
    <row r="27" spans="1:4" x14ac:dyDescent="0.55000000000000004">
      <c r="A27" t="s">
        <v>320</v>
      </c>
      <c r="B27" t="s">
        <v>321</v>
      </c>
      <c r="C27" t="s">
        <v>314</v>
      </c>
      <c r="D27" t="s">
        <v>315</v>
      </c>
    </row>
    <row r="29" spans="1:4" x14ac:dyDescent="0.55000000000000004">
      <c r="A29" s="53" t="s">
        <v>322</v>
      </c>
    </row>
    <row r="30" spans="1:4" x14ac:dyDescent="0.55000000000000004">
      <c r="A30" t="s">
        <v>323</v>
      </c>
      <c r="B30" t="str">
        <f>'Data Input'!B58</f>
        <v>Satisfied</v>
      </c>
    </row>
    <row r="31" spans="1:4" x14ac:dyDescent="0.55000000000000004">
      <c r="A31" t="s">
        <v>324</v>
      </c>
      <c r="B31" t="str">
        <f>'Data Input'!B9</f>
        <v>Set W</v>
      </c>
    </row>
    <row r="32" spans="1:4" x14ac:dyDescent="0.55000000000000004">
      <c r="A32" t="s">
        <v>325</v>
      </c>
      <c r="B32" t="str">
        <f>'Data Input'!B88</f>
        <v>Coverage floor not triggered</v>
      </c>
    </row>
    <row r="33" spans="1:2" x14ac:dyDescent="0.55000000000000004">
      <c r="A33" t="s">
        <v>326</v>
      </c>
      <c r="B33">
        <f>'Data Input'!B50</f>
        <v>14</v>
      </c>
    </row>
    <row r="34" spans="1:2" x14ac:dyDescent="0.55000000000000004">
      <c r="A34" t="s">
        <v>327</v>
      </c>
      <c r="B34" t="str">
        <f>IF(COUNT('Data Input'!B94:B101)=0,"Not Evaluated — debt build not entered",IF(ROUND(SUM('Data Input'!B94:B101),2)=ROUND('Data Input'!B102+'Data Input'!B103,2),"Pass","BLOCK — an instrument amount is classified as neither Debt nor Equity"))</f>
        <v>Pass</v>
      </c>
    </row>
    <row r="35" spans="1:2" ht="339.3" x14ac:dyDescent="0.55000000000000004">
      <c r="A35" s="42" t="s">
        <v>328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Read Me</vt:lpstr>
      <vt:lpstr>Data Input</vt:lpstr>
      <vt:lpstr>B - Cashflow</vt:lpstr>
      <vt:lpstr>C - Financial</vt:lpstr>
      <vt:lpstr>Validation</vt:lpstr>
      <vt:lpstr>CFADS_NCA_Series</vt:lpstr>
      <vt:lpstr>Debt_Build</vt:lpstr>
      <vt:lpstr>DSCR_Schedule</vt:lpstr>
      <vt:lpstr>Liquidity_Block</vt:lpstr>
      <vt:lpstr>P90_Block</vt:lpstr>
      <vt:lpstr>PLCR_LLCR_Inputs</vt:lpstr>
      <vt:lpstr>Project_CFO</vt:lpstr>
      <vt:lpstr>Sheet_Parameters</vt:lpstr>
      <vt:lpstr>TNW_Build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Satish Tirumela</cp:lastModifiedBy>
  <cp:revision>0</cp:revision>
  <dcterms:created xsi:type="dcterms:W3CDTF">2026-07-29T10:19:30Z</dcterms:created>
  <dcterms:modified xsi:type="dcterms:W3CDTF">2026-08-01T17:53:41Z</dcterms:modified>
  <dc:language>en-US</dc:language>
</cp:coreProperties>
</file>