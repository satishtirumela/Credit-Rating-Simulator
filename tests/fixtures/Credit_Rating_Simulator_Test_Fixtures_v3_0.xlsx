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Read Me" sheetId="1" state="visible" r:id="rId1"/>
    <sheet xmlns:r="http://schemas.openxmlformats.org/officeDocument/2006/relationships" name="Test Projects" sheetId="2" state="visible" r:id="rId2"/>
    <sheet xmlns:r="http://schemas.openxmlformats.org/officeDocument/2006/relationships" name="Test Project Inputs" sheetId="3" state="visible" r:id="rId3"/>
    <sheet xmlns:r="http://schemas.openxmlformats.org/officeDocument/2006/relationships" name="Sample (Reference Only)" sheetId="4" state="visible" r:id="rId4"/>
  </sheets>
  <definedNames/>
  <calcPr calcId="124519" fullCalcOnLoad="1" refMode="A1" iterate="0" iterateCount="100" iterateDelta="0.0001"/>
</workbook>
</file>

<file path=xl/styles.xml><?xml version="1.0" encoding="utf-8"?>
<styleSheet xmlns="http://schemas.openxmlformats.org/spreadsheetml/2006/main">
  <numFmts count="10">
    <numFmt numFmtId="164" formatCode="0.0%"/>
    <numFmt numFmtId="165" formatCode="0.00\x"/>
    <numFmt numFmtId="166" formatCode="0.0000\x"/>
    <numFmt numFmtId="167" formatCode="0.0&quot;  of 35&quot;"/>
    <numFmt numFmtId="168" formatCode="0.0000%"/>
    <numFmt numFmtId="169" formatCode="0.0&quot; mo&quot;"/>
    <numFmt numFmtId="170" formatCode="0.000\x"/>
    <numFmt numFmtId="171" formatCode="0.0&quot; of 25&quot;"/>
    <numFmt numFmtId="172" formatCode="0.0000"/>
    <numFmt numFmtId="173" formatCode="0.0"/>
  </numFmts>
  <fonts count="29">
    <font>
      <name val="Calibri"/>
      <charset val="1"/>
      <family val="2"/>
      <color theme="1"/>
      <sz val="11"/>
    </font>
    <font>
      <name val="Arial"/>
      <family val="0"/>
      <sz val="10"/>
    </font>
    <font>
      <name val="Arial"/>
      <family val="0"/>
      <sz val="10"/>
    </font>
    <font>
      <name val="Arial"/>
      <family val="0"/>
      <sz val="10"/>
    </font>
    <font>
      <name val="Arial"/>
      <charset val="1"/>
      <family val="0"/>
      <b val="1"/>
      <sz val="13"/>
    </font>
    <font>
      <name val="Arial"/>
      <charset val="1"/>
      <family val="0"/>
      <i val="1"/>
      <color rgb="FF555555"/>
      <sz val="10"/>
    </font>
    <font>
      <name val="Arial"/>
      <charset val="1"/>
      <family val="0"/>
      <sz val="10"/>
    </font>
    <font>
      <name val="Arial"/>
      <charset val="1"/>
      <family val="0"/>
      <b val="1"/>
      <sz val="11"/>
    </font>
    <font>
      <name val="Arial"/>
      <charset val="1"/>
      <family val="0"/>
      <b val="1"/>
      <color rgb="FF1F3864"/>
      <sz val="11"/>
    </font>
    <font>
      <name val="Arial"/>
      <charset val="1"/>
      <family val="0"/>
      <b val="1"/>
      <color rgb="FFFFFFFF"/>
      <sz val="12"/>
    </font>
    <font>
      <name val="Arial"/>
      <charset val="1"/>
      <family val="0"/>
      <i val="1"/>
      <color rgb="FF595959"/>
      <sz val="9"/>
    </font>
    <font>
      <name val="Arial"/>
      <charset val="1"/>
      <family val="0"/>
      <b val="1"/>
      <color rgb="FFFFFFFF"/>
      <sz val="10"/>
    </font>
    <font>
      <name val="Arial"/>
      <charset val="1"/>
      <family val="0"/>
      <color rgb="FF0000FF"/>
      <sz val="10"/>
    </font>
    <font>
      <name val="Arial"/>
      <charset val="1"/>
      <family val="0"/>
      <color rgb="FF000000"/>
      <sz val="10"/>
    </font>
    <font>
      <name val="Arial"/>
      <charset val="1"/>
      <family val="0"/>
      <b val="1"/>
      <color rgb="FF1F3864"/>
      <sz val="10"/>
    </font>
    <font>
      <name val="Arial"/>
      <charset val="1"/>
      <family val="0"/>
      <b val="1"/>
      <sz val="10"/>
    </font>
    <font>
      <name val="Arial"/>
      <charset val="1"/>
      <family val="0"/>
      <b val="1"/>
      <color rgb="FF0070C0"/>
      <sz val="10"/>
    </font>
    <font>
      <name val="Arial"/>
      <charset val="1"/>
      <family val="0"/>
      <i val="1"/>
      <color rgb="FF555555"/>
      <sz val="9"/>
    </font>
    <font>
      <name val="Arial"/>
      <charset val="1"/>
      <family val="0"/>
      <color rgb="FF008000"/>
      <sz val="10"/>
    </font>
    <font>
      <name val="Arial"/>
      <charset val="1"/>
      <family val="0"/>
      <b val="1"/>
      <color rgb="FFC00000"/>
      <sz val="10"/>
    </font>
    <font>
      <i val="1"/>
      <color rgb="FF595959"/>
      <sz val="9"/>
    </font>
    <font>
      <b val="1"/>
      <color rgb="FF9C0006"/>
    </font>
    <font>
      <b val="1"/>
      <color rgb="FFFFFFFF"/>
      <sz val="11"/>
    </font>
    <font>
      <b val="1"/>
      <color rgb="FFFFFFFF"/>
      <sz val="10"/>
    </font>
    <font>
      <b val="1"/>
    </font>
    <font>
      <b val="1"/>
      <color rgb="FF9C0006"/>
      <sz val="10"/>
    </font>
    <font>
      <b val="1"/>
      <color rgb="FFFFFFFF"/>
      <sz val="12"/>
    </font>
    <font>
      <b val="1"/>
      <color rgb="FF9C0006"/>
      <sz val="12"/>
    </font>
    <font>
      <b val="1"/>
      <color rgb="FF1F3864"/>
      <sz val="11"/>
    </font>
  </fonts>
  <fills count="15">
    <fill>
      <patternFill/>
    </fill>
    <fill>
      <patternFill patternType="gray125"/>
    </fill>
    <fill>
      <patternFill patternType="solid">
        <fgColor rgb="FF1F3864"/>
        <bgColor rgb="FF333399"/>
      </patternFill>
    </fill>
    <fill>
      <patternFill patternType="solid">
        <fgColor rgb="FF4472C4"/>
        <bgColor rgb="FF0070C0"/>
      </patternFill>
    </fill>
    <fill>
      <patternFill patternType="solid">
        <fgColor rgb="FFFFF2CC"/>
        <bgColor rgb="FFF2F2F2"/>
      </patternFill>
    </fill>
    <fill>
      <patternFill patternType="solid">
        <fgColor rgb="FFDDEBF7"/>
        <bgColor rgb="FFDCE6F1"/>
      </patternFill>
    </fill>
    <fill>
      <patternFill patternType="solid">
        <fgColor rgb="FFDCE6F1"/>
        <bgColor rgb="FFDDEBF7"/>
      </patternFill>
    </fill>
    <fill>
      <patternFill patternType="solid">
        <fgColor rgb="FFD9D9D9"/>
        <bgColor rgb="FFDCE6F1"/>
      </patternFill>
    </fill>
    <fill>
      <patternFill patternType="solid">
        <fgColor rgb="FFF2F2F2"/>
        <bgColor rgb="FFE2EFDA"/>
      </patternFill>
    </fill>
    <fill>
      <patternFill patternType="solid">
        <fgColor rgb="FFE2EFDA"/>
        <bgColor rgb="FFDDEBF7"/>
      </patternFill>
    </fill>
    <fill>
      <patternFill patternType="solid">
        <fgColor rgb="FFDDEBF7"/>
      </patternFill>
    </fill>
    <fill>
      <patternFill patternType="solid">
        <fgColor rgb="FF1F3864"/>
      </patternFill>
    </fill>
    <fill>
      <patternFill patternType="solid">
        <fgColor rgb="FF4472C4"/>
      </patternFill>
    </fill>
    <fill>
      <patternFill patternType="solid">
        <fgColor rgb="FFFFF2CC"/>
      </patternFill>
    </fill>
    <fill>
      <patternFill patternType="solid">
        <fgColor rgb="FFE2EFDA"/>
      </patternFill>
    </fill>
  </fills>
  <borders count="7">
    <border>
      <left/>
      <right/>
      <top/>
      <bottom/>
      <diagonal/>
    </border>
    <border>
      <left style="thin">
        <color rgb="FFB8B8B8"/>
      </left>
      <right style="thin">
        <color rgb="FFB8B8B8"/>
      </right>
      <top style="thin">
        <color rgb="FFB8B8B8"/>
      </top>
      <bottom style="thin">
        <color rgb="FFB8B8B8"/>
      </bottom>
      <diagonal/>
    </border>
    <border>
      <left style="thin">
        <color rgb="FFBFBFBF"/>
      </left>
      <right style="thin">
        <color rgb="FFBFBFBF"/>
      </right>
      <top style="thin">
        <color rgb="FFBFBFBF"/>
      </top>
      <bottom style="thin">
        <color rgb="FFBFBFBF"/>
      </bottom>
      <diagonal/>
    </border>
    <border>
      <left/>
      <right/>
      <top style="thin">
        <color rgb="FFB8B8B8"/>
      </top>
      <bottom/>
      <diagonal/>
    </border>
    <border>
      <left/>
      <right style="thin">
        <color rgb="FFB8B8B8"/>
      </right>
      <top style="thin">
        <color rgb="FFB8B8B8"/>
      </top>
      <bottom/>
      <diagonal/>
    </border>
    <border>
      <left/>
      <right/>
      <top style="thin">
        <color rgb="FFB8B8B8"/>
      </top>
      <bottom style="thin">
        <color rgb="FFB8B8B8"/>
      </bottom>
      <diagonal/>
    </border>
    <border>
      <left/>
      <right style="thin">
        <color rgb="FFB8B8B8"/>
      </right>
      <top style="thin">
        <color rgb="FFB8B8B8"/>
      </top>
      <bottom style="thin">
        <color rgb="FFB8B8B8"/>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169">
    <xf numFmtId="0" fontId="0" fillId="0" borderId="0" applyAlignment="1" pivotButton="0" quotePrefix="0" xfId="0">
      <alignment horizontal="general" vertical="bottom"/>
    </xf>
    <xf numFmtId="0" fontId="0" fillId="0" borderId="0" applyAlignment="1" pivotButton="0" quotePrefix="0" xfId="0">
      <alignment horizontal="general" vertical="bottom"/>
    </xf>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8" fillId="0" borderId="0" applyAlignment="1" pivotButton="0" quotePrefix="0" xfId="0">
      <alignment horizontal="left" vertical="center"/>
    </xf>
    <xf numFmtId="0" fontId="6" fillId="0" borderId="0" applyAlignment="1" pivotButton="0" quotePrefix="0" xfId="0">
      <alignment horizontal="left" vertical="top" wrapText="1"/>
    </xf>
    <xf numFmtId="0" fontId="9" fillId="2" borderId="0" applyAlignment="1" pivotButton="0" quotePrefix="0" xfId="0">
      <alignment horizontal="left" vertical="center" wrapText="1"/>
    </xf>
    <xf numFmtId="0" fontId="10" fillId="0" borderId="0" applyAlignment="1" pivotButton="0" quotePrefix="0" xfId="0">
      <alignment horizontal="left" vertical="center" wrapText="1"/>
    </xf>
    <xf numFmtId="0" fontId="11" fillId="3" borderId="0" applyAlignment="1" pivotButton="0" quotePrefix="0" xfId="0">
      <alignment horizontal="left" vertical="center" wrapText="1"/>
    </xf>
    <xf numFmtId="0" fontId="6" fillId="0" borderId="0" applyAlignment="1" pivotButton="0" quotePrefix="0" xfId="0">
      <alignment horizontal="left" vertical="center" wrapText="1"/>
    </xf>
    <xf numFmtId="0" fontId="12" fillId="4" borderId="1" applyAlignment="1" pivotButton="0" quotePrefix="0" xfId="0">
      <alignment horizontal="right" vertical="center"/>
    </xf>
    <xf numFmtId="164" fontId="12" fillId="4" borderId="1" applyAlignment="1" pivotButton="0" quotePrefix="0" xfId="0">
      <alignment horizontal="right" vertical="center"/>
    </xf>
    <xf numFmtId="0" fontId="13" fillId="5" borderId="1" applyAlignment="1" pivotButton="0" quotePrefix="0" xfId="0">
      <alignment horizontal="right" vertical="center"/>
    </xf>
    <xf numFmtId="0" fontId="14" fillId="6" borderId="0" applyAlignment="1" pivotButton="0" quotePrefix="0" xfId="0">
      <alignment horizontal="left" vertical="center" wrapText="1"/>
    </xf>
    <xf numFmtId="0" fontId="15" fillId="7" borderId="1" applyAlignment="1" pivotButton="0" quotePrefix="0" xfId="0">
      <alignment horizontal="center" vertical="center" wrapText="1"/>
    </xf>
    <xf numFmtId="165" fontId="13" fillId="5" borderId="1" applyAlignment="1" pivotButton="0" quotePrefix="0" xfId="0">
      <alignment horizontal="right" vertical="center"/>
    </xf>
    <xf numFmtId="0" fontId="15" fillId="0" borderId="0" applyAlignment="1" pivotButton="0" quotePrefix="0" xfId="0">
      <alignment horizontal="left" vertical="center" wrapText="1"/>
    </xf>
    <xf numFmtId="166" fontId="13" fillId="5" borderId="1" applyAlignment="1" pivotButton="0" quotePrefix="0" xfId="0">
      <alignment horizontal="right" vertical="center"/>
    </xf>
    <xf numFmtId="1" fontId="13" fillId="5" borderId="1" applyAlignment="1" pivotButton="0" quotePrefix="0" xfId="0">
      <alignment horizontal="right" vertical="center"/>
    </xf>
    <xf numFmtId="164" fontId="13" fillId="5" borderId="1" applyAlignment="1" pivotButton="0" quotePrefix="0" xfId="0">
      <alignment horizontal="right" vertical="center"/>
    </xf>
    <xf numFmtId="10" fontId="12" fillId="4" borderId="1" applyAlignment="1" pivotButton="0" quotePrefix="0" xfId="0">
      <alignment horizontal="right" vertical="center"/>
    </xf>
    <xf numFmtId="0" fontId="0" fillId="5" borderId="1" applyAlignment="1" pivotButton="0" quotePrefix="0" xfId="0">
      <alignment horizontal="general" vertical="bottom"/>
    </xf>
    <xf numFmtId="167" fontId="13" fillId="5" borderId="1" applyAlignment="1" pivotButton="0" quotePrefix="0" xfId="0">
      <alignment horizontal="right" vertical="center"/>
    </xf>
    <xf numFmtId="0" fontId="12" fillId="4" borderId="1" applyAlignment="1" pivotButton="0" quotePrefix="0" xfId="0">
      <alignment horizontal="center" vertical="center" wrapText="1"/>
    </xf>
    <xf numFmtId="168" fontId="13" fillId="5" borderId="1" applyAlignment="1" pivotButton="0" quotePrefix="0" xfId="0">
      <alignment horizontal="right" vertical="center"/>
    </xf>
    <xf numFmtId="169" fontId="13" fillId="5" borderId="1" applyAlignment="1" pivotButton="0" quotePrefix="0" xfId="0">
      <alignment horizontal="right" vertical="center"/>
    </xf>
    <xf numFmtId="9" fontId="0" fillId="5" borderId="0" applyAlignment="1" pivotButton="0" quotePrefix="0" xfId="0">
      <alignment horizontal="general" vertical="bottom"/>
    </xf>
    <xf numFmtId="170" fontId="0" fillId="5" borderId="0" applyAlignment="1" pivotButton="0" quotePrefix="0" xfId="0">
      <alignment horizontal="general" vertical="bottom"/>
    </xf>
    <xf numFmtId="0" fontId="0" fillId="5" borderId="0" applyAlignment="1" pivotButton="0" quotePrefix="0" xfId="0">
      <alignment horizontal="general" vertical="bottom"/>
    </xf>
    <xf numFmtId="171" fontId="13" fillId="5" borderId="1" applyAlignment="1" pivotButton="0" quotePrefix="0" xfId="0">
      <alignment horizontal="right" vertical="center"/>
    </xf>
    <xf numFmtId="0" fontId="13" fillId="5" borderId="1" applyAlignment="1" pivotButton="0" quotePrefix="0" xfId="0">
      <alignment horizontal="left" vertical="center" wrapText="1"/>
    </xf>
    <xf numFmtId="1" fontId="13" fillId="5" borderId="1" applyAlignment="1" pivotButton="0" quotePrefix="0" xfId="0">
      <alignment horizontal="left" vertical="center" wrapText="1"/>
    </xf>
    <xf numFmtId="0" fontId="16" fillId="0" borderId="0" applyAlignment="1" pivotButton="0" quotePrefix="0" xfId="0">
      <alignment horizontal="left" vertical="center" wrapText="1"/>
    </xf>
    <xf numFmtId="0" fontId="4" fillId="0" borderId="0" applyAlignment="1" pivotButton="0" quotePrefix="0" xfId="0">
      <alignment horizontal="general" vertical="bottom"/>
    </xf>
    <xf numFmtId="0" fontId="17"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12" fillId="4" borderId="2" applyAlignment="1" pivotButton="0" quotePrefix="0" xfId="0">
      <alignment horizontal="general" vertical="bottom"/>
    </xf>
    <xf numFmtId="0" fontId="15" fillId="0" borderId="0" applyAlignment="1" pivotButton="0" quotePrefix="0" xfId="0">
      <alignment horizontal="general" vertical="bottom"/>
    </xf>
    <xf numFmtId="10" fontId="12" fillId="4" borderId="2" applyAlignment="1" pivotButton="0" quotePrefix="0" xfId="0">
      <alignment horizontal="general" vertical="bottom"/>
    </xf>
    <xf numFmtId="0" fontId="6" fillId="5" borderId="2" applyAlignment="1" pivotButton="0" quotePrefix="0" xfId="0">
      <alignment horizontal="general" vertical="bottom"/>
    </xf>
    <xf numFmtId="172" fontId="6" fillId="5" borderId="2" applyAlignment="1" pivotButton="0" quotePrefix="0" xfId="0">
      <alignment horizontal="general" vertical="bottom"/>
    </xf>
    <xf numFmtId="0" fontId="15" fillId="7" borderId="2" applyAlignment="1" pivotButton="0" quotePrefix="0" xfId="0">
      <alignment horizontal="general" vertical="top" wrapText="1"/>
    </xf>
    <xf numFmtId="3" fontId="12" fillId="4" borderId="2" applyAlignment="1" pivotButton="0" quotePrefix="0" xfId="0">
      <alignment horizontal="general" vertical="bottom"/>
    </xf>
    <xf numFmtId="3" fontId="6" fillId="5" borderId="2" applyAlignment="1" pivotButton="0" quotePrefix="0" xfId="0">
      <alignment horizontal="general" vertical="bottom"/>
    </xf>
    <xf numFmtId="1" fontId="6" fillId="5" borderId="2" applyAlignment="1" pivotButton="0" quotePrefix="0" xfId="0">
      <alignment horizontal="general" vertical="bottom"/>
    </xf>
    <xf numFmtId="10" fontId="6" fillId="5" borderId="2" applyAlignment="1" pivotButton="0" quotePrefix="0" xfId="0">
      <alignment horizontal="general" vertical="bottom"/>
    </xf>
    <xf numFmtId="3" fontId="18" fillId="5" borderId="2" applyAlignment="1" pivotButton="0" quotePrefix="0" xfId="0">
      <alignment horizontal="general" vertical="bottom"/>
    </xf>
    <xf numFmtId="2" fontId="12" fillId="4" borderId="2" applyAlignment="1" pivotButton="0" quotePrefix="0" xfId="0">
      <alignment horizontal="general" vertical="bottom"/>
    </xf>
    <xf numFmtId="173" fontId="6" fillId="5" borderId="2" applyAlignment="1" pivotButton="0" quotePrefix="0" xfId="0">
      <alignment horizontal="general" vertical="bottom"/>
    </xf>
    <xf numFmtId="0" fontId="19" fillId="5" borderId="2" applyAlignment="1" pivotButton="0" quotePrefix="0" xfId="0">
      <alignment horizontal="general" vertical="bottom"/>
    </xf>
    <xf numFmtId="0" fontId="17" fillId="0" borderId="0" applyAlignment="1" pivotButton="0" quotePrefix="0" xfId="0">
      <alignment horizontal="general" vertical="top" wrapText="1"/>
    </xf>
    <xf numFmtId="0" fontId="6" fillId="8" borderId="2" applyAlignment="1" pivotButton="0" quotePrefix="0" xfId="0">
      <alignment horizontal="general" vertical="bottom"/>
    </xf>
    <xf numFmtId="0" fontId="17" fillId="8" borderId="2" applyAlignment="1" pivotButton="0" quotePrefix="0" xfId="0">
      <alignment horizontal="general" vertical="bottom"/>
    </xf>
    <xf numFmtId="0" fontId="15" fillId="7" borderId="2" applyAlignment="1" pivotButton="0" quotePrefix="0" xfId="0">
      <alignment horizontal="center" vertical="center" wrapText="1"/>
    </xf>
    <xf numFmtId="0" fontId="0" fillId="7" borderId="0" applyAlignment="1" pivotButton="0" quotePrefix="0" xfId="0">
      <alignment horizontal="general" vertical="bottom"/>
    </xf>
    <xf numFmtId="0" fontId="7" fillId="7" borderId="0" applyAlignment="1" pivotButton="0" quotePrefix="0" xfId="0">
      <alignment horizontal="general" vertical="bottom"/>
    </xf>
    <xf numFmtId="0" fontId="6" fillId="8" borderId="2" applyAlignment="1" pivotButton="0" quotePrefix="0" xfId="0">
      <alignment horizontal="center" vertical="center" wrapText="1"/>
    </xf>
    <xf numFmtId="173" fontId="6" fillId="8" borderId="2" applyAlignment="1" pivotButton="0" quotePrefix="0" xfId="0">
      <alignment horizontal="center" vertical="center" wrapText="1"/>
    </xf>
    <xf numFmtId="0" fontId="15" fillId="0" borderId="0" applyAlignment="1" pivotButton="0" quotePrefix="0" xfId="0">
      <alignment horizontal="general" vertical="top" wrapText="1"/>
    </xf>
    <xf numFmtId="173" fontId="15" fillId="8" borderId="2" applyAlignment="1" pivotButton="0" quotePrefix="0" xfId="0">
      <alignment horizontal="center" vertical="center" wrapText="1"/>
    </xf>
    <xf numFmtId="173" fontId="15" fillId="9" borderId="2" applyAlignment="1" pivotButton="0" quotePrefix="0" xfId="0">
      <alignment horizontal="center" vertical="center" wrapText="1"/>
    </xf>
    <xf numFmtId="0" fontId="17" fillId="0" borderId="0" applyAlignment="1" pivotButton="0" quotePrefix="0" xfId="0">
      <alignment horizontal="general" vertical="top" wrapText="1"/>
    </xf>
    <xf numFmtId="10" fontId="6" fillId="8" borderId="2" applyAlignment="1" pivotButton="0" quotePrefix="0" xfId="0">
      <alignment horizontal="general" vertical="bottom"/>
    </xf>
    <xf numFmtId="172" fontId="6" fillId="8" borderId="2" applyAlignment="1" pivotButton="0" quotePrefix="0" xfId="0">
      <alignment horizontal="general" vertical="bottom"/>
    </xf>
    <xf numFmtId="3" fontId="6" fillId="8" borderId="2"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top" wrapText="1"/>
    </xf>
    <xf numFmtId="0" fontId="5" fillId="0" borderId="0" applyAlignment="1" pivotButton="0" quotePrefix="0" xfId="0">
      <alignment horizontal="general" vertical="top" wrapText="1"/>
    </xf>
    <xf numFmtId="0" fontId="5" fillId="0" borderId="0" applyAlignment="1" pivotButton="0" quotePrefix="0" xfId="0">
      <alignment vertical="top" wrapText="1"/>
    </xf>
    <xf numFmtId="0" fontId="6" fillId="0" borderId="0" applyAlignment="1" pivotButton="0" quotePrefix="0" xfId="0">
      <alignment horizontal="general" vertical="top" wrapText="1"/>
    </xf>
    <xf numFmtId="0" fontId="7" fillId="0" borderId="0" applyAlignment="1" pivotButton="0" quotePrefix="0" xfId="0">
      <alignment horizontal="general" vertical="top" wrapText="1"/>
    </xf>
    <xf numFmtId="0" fontId="6" fillId="0" borderId="0" applyAlignment="1" pivotButton="0" quotePrefix="0" xfId="0">
      <alignment vertical="top" wrapText="1"/>
    </xf>
    <xf numFmtId="0" fontId="8" fillId="0" borderId="0" applyAlignment="1" pivotButton="0" quotePrefix="0" xfId="0">
      <alignment horizontal="left" vertical="center"/>
    </xf>
    <xf numFmtId="0" fontId="6" fillId="0" borderId="0" applyAlignment="1" pivotButton="0" quotePrefix="0" xfId="0">
      <alignment horizontal="left" vertical="top" wrapText="1"/>
    </xf>
    <xf numFmtId="0" fontId="9" fillId="2" borderId="0" applyAlignment="1" pivotButton="0" quotePrefix="0" xfId="0">
      <alignment horizontal="left" vertical="center" wrapText="1"/>
    </xf>
    <xf numFmtId="0" fontId="10" fillId="0" borderId="0" applyAlignment="1" pivotButton="0" quotePrefix="0" xfId="0">
      <alignment vertical="top" wrapText="1"/>
    </xf>
    <xf numFmtId="0" fontId="11" fillId="3" borderId="0" applyAlignment="1" pivotButton="0" quotePrefix="0" xfId="0">
      <alignment horizontal="left" vertical="center" wrapText="1"/>
    </xf>
    <xf numFmtId="0" fontId="6" fillId="0" borderId="0" applyAlignment="1" pivotButton="0" quotePrefix="0" xfId="0">
      <alignment horizontal="left" vertical="center" wrapText="1"/>
    </xf>
    <xf numFmtId="0" fontId="12" fillId="4" borderId="1" applyAlignment="1" pivotButton="0" quotePrefix="0" xfId="0">
      <alignment horizontal="right" vertical="center"/>
    </xf>
    <xf numFmtId="164" fontId="12" fillId="10" borderId="1" applyAlignment="1" pivotButton="0" quotePrefix="0" xfId="0">
      <alignment horizontal="right" vertical="center"/>
    </xf>
    <xf numFmtId="0" fontId="13" fillId="5" borderId="1" applyAlignment="1" pivotButton="0" quotePrefix="0" xfId="0">
      <alignment horizontal="right" vertical="center"/>
    </xf>
    <xf numFmtId="0" fontId="20" fillId="0" borderId="0" applyAlignment="1" pivotButton="0" quotePrefix="0" xfId="0">
      <alignment vertical="top" wrapText="1"/>
    </xf>
    <xf numFmtId="0" fontId="14" fillId="6" borderId="0" applyAlignment="1" pivotButton="0" quotePrefix="0" xfId="0">
      <alignment horizontal="left" vertical="center" wrapText="1"/>
    </xf>
    <xf numFmtId="0" fontId="15" fillId="7" borderId="1" applyAlignment="1" pivotButton="0" quotePrefix="0" xfId="0">
      <alignment horizontal="center" vertical="center" wrapText="1"/>
    </xf>
    <xf numFmtId="165" fontId="13" fillId="5" borderId="1" applyAlignment="1" pivotButton="0" quotePrefix="0" xfId="0">
      <alignment horizontal="right" vertical="center"/>
    </xf>
    <xf numFmtId="0" fontId="15" fillId="0" borderId="0" applyAlignment="1" pivotButton="0" quotePrefix="0" xfId="0">
      <alignment horizontal="left" vertical="center" wrapText="1"/>
    </xf>
    <xf numFmtId="166" fontId="13" fillId="5" borderId="1" applyAlignment="1" pivotButton="0" quotePrefix="0" xfId="0">
      <alignment horizontal="right" vertical="center"/>
    </xf>
    <xf numFmtId="1" fontId="13" fillId="5" borderId="1" applyAlignment="1" pivotButton="0" quotePrefix="0" xfId="0">
      <alignment horizontal="right" vertical="center"/>
    </xf>
    <xf numFmtId="0" fontId="10" fillId="0" borderId="0" applyAlignment="1" pivotButton="0" quotePrefix="0" xfId="0">
      <alignment horizontal="left" vertical="center" wrapText="1"/>
    </xf>
    <xf numFmtId="0" fontId="21" fillId="0" borderId="0" applyAlignment="1" pivotButton="0" quotePrefix="0" xfId="0">
      <alignment horizontal="left" vertical="center" wrapText="1"/>
    </xf>
    <xf numFmtId="164" fontId="12" fillId="4" borderId="1" applyAlignment="1" pivotButton="0" quotePrefix="0" xfId="0">
      <alignment horizontal="right" vertical="center"/>
    </xf>
    <xf numFmtId="164" fontId="13" fillId="5" borderId="1" applyAlignment="1" pivotButton="0" quotePrefix="0" xfId="0">
      <alignment horizontal="right" vertical="center"/>
    </xf>
    <xf numFmtId="10" fontId="12" fillId="4" borderId="1" applyAlignment="1" pivotButton="0" quotePrefix="0" xfId="0">
      <alignment horizontal="right" vertical="center"/>
    </xf>
    <xf numFmtId="0" fontId="0" fillId="5" borderId="1" applyAlignment="1" pivotButton="0" quotePrefix="0" xfId="0">
      <alignment horizontal="general" vertical="bottom"/>
    </xf>
    <xf numFmtId="167" fontId="13" fillId="5" borderId="1" applyAlignment="1" pivotButton="0" quotePrefix="0" xfId="0">
      <alignment horizontal="right" vertical="center"/>
    </xf>
    <xf numFmtId="0" fontId="0" fillId="0" borderId="5" pivotButton="0" quotePrefix="0" xfId="0"/>
    <xf numFmtId="0" fontId="0" fillId="0" borderId="6" pivotButton="0" quotePrefix="0" xfId="0"/>
    <xf numFmtId="0" fontId="12" fillId="4" borderId="1" applyAlignment="1" pivotButton="0" quotePrefix="0" xfId="0">
      <alignment horizontal="center" vertical="center" wrapText="1"/>
    </xf>
    <xf numFmtId="168" fontId="13" fillId="5" borderId="1" applyAlignment="1" pivotButton="0" quotePrefix="0" xfId="0">
      <alignment horizontal="right" vertical="center"/>
    </xf>
    <xf numFmtId="169" fontId="13" fillId="5" borderId="1" applyAlignment="1" pivotButton="0" quotePrefix="0" xfId="0">
      <alignment horizontal="right" vertical="center"/>
    </xf>
    <xf numFmtId="9" fontId="0" fillId="5" borderId="0" applyAlignment="1" pivotButton="0" quotePrefix="0" xfId="0">
      <alignment horizontal="general" vertical="bottom"/>
    </xf>
    <xf numFmtId="170" fontId="0" fillId="5" borderId="0" applyAlignment="1" pivotButton="0" quotePrefix="0" xfId="0">
      <alignment horizontal="general" vertical="bottom"/>
    </xf>
    <xf numFmtId="0" fontId="0" fillId="5" borderId="0" applyAlignment="1" pivotButton="0" quotePrefix="0" xfId="0">
      <alignment horizontal="general" vertical="bottom"/>
    </xf>
    <xf numFmtId="171" fontId="13" fillId="5" borderId="1" applyAlignment="1" pivotButton="0" quotePrefix="0" xfId="0">
      <alignment horizontal="right" vertical="center"/>
    </xf>
    <xf numFmtId="0" fontId="13" fillId="5" borderId="1" applyAlignment="1" pivotButton="0" quotePrefix="0" xfId="0">
      <alignment horizontal="left" vertical="center" wrapText="1"/>
    </xf>
    <xf numFmtId="1" fontId="13" fillId="5" borderId="1" applyAlignment="1" pivotButton="0" quotePrefix="0" xfId="0">
      <alignment horizontal="left" vertical="center" wrapText="1"/>
    </xf>
    <xf numFmtId="0" fontId="16" fillId="0" borderId="0" applyAlignment="1" pivotButton="0" quotePrefix="0" xfId="0">
      <alignment horizontal="left" vertical="center" wrapText="1"/>
    </xf>
    <xf numFmtId="0" fontId="4" fillId="0" borderId="0" applyAlignment="1" pivotButton="0" quotePrefix="0" xfId="0">
      <alignment horizontal="general" vertical="bottom"/>
    </xf>
    <xf numFmtId="0" fontId="17" fillId="0" borderId="0" applyAlignment="1" pivotButton="0" quotePrefix="0" xfId="0">
      <alignment horizontal="general" vertical="bottom"/>
    </xf>
    <xf numFmtId="0" fontId="7" fillId="0" borderId="0" applyAlignment="1" pivotButton="0" quotePrefix="0" xfId="0">
      <alignment horizontal="general" vertical="bottom"/>
    </xf>
    <xf numFmtId="0" fontId="6" fillId="0" borderId="0" applyAlignment="1" pivotButton="0" quotePrefix="0" xfId="0">
      <alignment horizontal="general" vertical="bottom"/>
    </xf>
    <xf numFmtId="0" fontId="12" fillId="4" borderId="2" applyAlignment="1" pivotButton="0" quotePrefix="0" xfId="0">
      <alignment horizontal="general" vertical="bottom"/>
    </xf>
    <xf numFmtId="0" fontId="15" fillId="0" borderId="0" applyAlignment="1" pivotButton="0" quotePrefix="0" xfId="0">
      <alignment horizontal="general" vertical="bottom"/>
    </xf>
    <xf numFmtId="10" fontId="12" fillId="4" borderId="2" applyAlignment="1" pivotButton="0" quotePrefix="0" xfId="0">
      <alignment horizontal="general" vertical="bottom"/>
    </xf>
    <xf numFmtId="0" fontId="6" fillId="5" borderId="2" applyAlignment="1" pivotButton="0" quotePrefix="0" xfId="0">
      <alignment horizontal="general" vertical="bottom"/>
    </xf>
    <xf numFmtId="172" fontId="6" fillId="5" borderId="2" applyAlignment="1" pivotButton="0" quotePrefix="0" xfId="0">
      <alignment horizontal="general" vertical="bottom"/>
    </xf>
    <xf numFmtId="0" fontId="15" fillId="7" borderId="2" applyAlignment="1" pivotButton="0" quotePrefix="0" xfId="0">
      <alignment horizontal="general" vertical="top" wrapText="1"/>
    </xf>
    <xf numFmtId="3" fontId="12" fillId="4" borderId="2" applyAlignment="1" pivotButton="0" quotePrefix="0" xfId="0">
      <alignment horizontal="general" vertical="bottom"/>
    </xf>
    <xf numFmtId="3" fontId="6" fillId="5" borderId="2" applyAlignment="1" pivotButton="0" quotePrefix="0" xfId="0">
      <alignment horizontal="general" vertical="bottom"/>
    </xf>
    <xf numFmtId="1" fontId="6" fillId="5" borderId="2" applyAlignment="1" pivotButton="0" quotePrefix="0" xfId="0">
      <alignment horizontal="general" vertical="bottom"/>
    </xf>
    <xf numFmtId="10" fontId="6" fillId="5" borderId="2" applyAlignment="1" pivotButton="0" quotePrefix="0" xfId="0">
      <alignment horizontal="general" vertical="bottom"/>
    </xf>
    <xf numFmtId="3" fontId="18" fillId="5" borderId="2" applyAlignment="1" pivotButton="0" quotePrefix="0" xfId="0">
      <alignment horizontal="general" vertical="bottom"/>
    </xf>
    <xf numFmtId="2" fontId="12" fillId="4" borderId="2" applyAlignment="1" pivotButton="0" quotePrefix="0" xfId="0">
      <alignment horizontal="general" vertical="bottom"/>
    </xf>
    <xf numFmtId="173" fontId="6" fillId="5" borderId="2" applyAlignment="1" pivotButton="0" quotePrefix="0" xfId="0">
      <alignment horizontal="general" vertical="bottom"/>
    </xf>
    <xf numFmtId="0" fontId="19" fillId="5" borderId="2" applyAlignment="1" pivotButton="0" quotePrefix="0" xfId="0">
      <alignment horizontal="general" vertical="bottom"/>
    </xf>
    <xf numFmtId="0" fontId="17" fillId="0" borderId="0" applyAlignment="1" pivotButton="0" quotePrefix="0" xfId="0">
      <alignment horizontal="general" vertical="top" wrapText="1"/>
    </xf>
    <xf numFmtId="0" fontId="6" fillId="8" borderId="2" applyAlignment="1" pivotButton="0" quotePrefix="0" xfId="0">
      <alignment horizontal="general" vertical="bottom"/>
    </xf>
    <xf numFmtId="0" fontId="17" fillId="8" borderId="2" applyAlignment="1" pivotButton="0" quotePrefix="0" xfId="0">
      <alignment horizontal="general" vertical="bottom"/>
    </xf>
    <xf numFmtId="0" fontId="15" fillId="7" borderId="2" applyAlignment="1" pivotButton="0" quotePrefix="0" xfId="0">
      <alignment horizontal="center" vertical="center" wrapText="1"/>
    </xf>
    <xf numFmtId="0" fontId="0" fillId="7" borderId="0" applyAlignment="1" pivotButton="0" quotePrefix="0" xfId="0">
      <alignment horizontal="general" vertical="bottom"/>
    </xf>
    <xf numFmtId="0" fontId="7" fillId="7" borderId="0" applyAlignment="1" pivotButton="0" quotePrefix="0" xfId="0">
      <alignment horizontal="general" vertical="bottom"/>
    </xf>
    <xf numFmtId="0" fontId="6" fillId="8" borderId="2" applyAlignment="1" pivotButton="0" quotePrefix="0" xfId="0">
      <alignment horizontal="center" vertical="center" wrapText="1"/>
    </xf>
    <xf numFmtId="173" fontId="6" fillId="8" borderId="2" applyAlignment="1" pivotButton="0" quotePrefix="0" xfId="0">
      <alignment horizontal="center" vertical="center" wrapText="1"/>
    </xf>
    <xf numFmtId="0" fontId="15" fillId="0" borderId="0" applyAlignment="1" pivotButton="0" quotePrefix="0" xfId="0">
      <alignment horizontal="general" vertical="top" wrapText="1"/>
    </xf>
    <xf numFmtId="173" fontId="15" fillId="8" borderId="2" applyAlignment="1" pivotButton="0" quotePrefix="0" xfId="0">
      <alignment horizontal="center" vertical="center" wrapText="1"/>
    </xf>
    <xf numFmtId="173" fontId="15" fillId="9" borderId="2" applyAlignment="1" pivotButton="0" quotePrefix="0" xfId="0">
      <alignment horizontal="center" vertical="center" wrapText="1"/>
    </xf>
    <xf numFmtId="10" fontId="6" fillId="8" borderId="2" applyAlignment="1" pivotButton="0" quotePrefix="0" xfId="0">
      <alignment horizontal="general" vertical="bottom"/>
    </xf>
    <xf numFmtId="172" fontId="6" fillId="8" borderId="2" applyAlignment="1" pivotButton="0" quotePrefix="0" xfId="0">
      <alignment horizontal="general" vertical="bottom"/>
    </xf>
    <xf numFmtId="3" fontId="6" fillId="8" borderId="2" applyAlignment="1" pivotButton="0" quotePrefix="0" xfId="0">
      <alignment horizontal="general" vertical="bottom"/>
    </xf>
    <xf numFmtId="0" fontId="12" fillId="4" borderId="1" applyAlignment="1" applyProtection="1" pivotButton="0" quotePrefix="0" xfId="0">
      <alignment horizontal="right" vertical="center"/>
      <protection locked="0" hidden="0"/>
    </xf>
    <xf numFmtId="0" fontId="24" fillId="0" borderId="0" applyAlignment="1" pivotButton="0" quotePrefix="0" xfId="0">
      <alignment vertical="top" wrapText="1"/>
    </xf>
    <xf numFmtId="0" fontId="0" fillId="13" borderId="0" applyProtection="1" pivotButton="0" quotePrefix="0" xfId="0">
      <protection locked="0" hidden="0"/>
    </xf>
    <xf numFmtId="0" fontId="0" fillId="10" borderId="0" pivotButton="0" quotePrefix="0" xfId="0"/>
    <xf numFmtId="164" fontId="12" fillId="4" borderId="1" applyAlignment="1" applyProtection="1" pivotButton="0" quotePrefix="0" xfId="0">
      <alignment horizontal="right" vertical="center"/>
      <protection locked="0" hidden="0"/>
    </xf>
    <xf numFmtId="0" fontId="24" fillId="0" borderId="0" pivotButton="0" quotePrefix="0" xfId="0"/>
    <xf numFmtId="10" fontId="12" fillId="4" borderId="1" applyAlignment="1" applyProtection="1" pivotButton="0" quotePrefix="0" xfId="0">
      <alignment horizontal="right" vertical="center"/>
      <protection locked="0" hidden="0"/>
    </xf>
    <xf numFmtId="0" fontId="12" fillId="4" borderId="1" applyAlignment="1" applyProtection="1" pivotButton="0" quotePrefix="0" xfId="0">
      <alignment horizontal="center" vertical="center" wrapText="1"/>
      <protection locked="0" hidden="0"/>
    </xf>
    <xf numFmtId="0" fontId="13" fillId="5" borderId="1" applyAlignment="1" applyProtection="1" pivotButton="0" quotePrefix="0" xfId="0">
      <alignment horizontal="right" vertical="center"/>
      <protection locked="0" hidden="0"/>
    </xf>
    <xf numFmtId="0" fontId="22" fillId="11" borderId="0" pivotButton="0" quotePrefix="0" xfId="0"/>
    <xf numFmtId="0" fontId="23" fillId="12" borderId="0" pivotButton="0" quotePrefix="0" xfId="0"/>
    <xf numFmtId="0" fontId="24" fillId="0" borderId="0" applyAlignment="1" pivotButton="0" quotePrefix="0" xfId="0">
      <alignment horizontal="center" vertical="top" wrapText="1"/>
    </xf>
    <xf numFmtId="0" fontId="0" fillId="12" borderId="0" pivotButton="0" quotePrefix="0" xfId="0"/>
    <xf numFmtId="0" fontId="0" fillId="0" borderId="0" applyAlignment="1" pivotButton="0" quotePrefix="0" xfId="0">
      <alignment vertical="top" wrapText="1"/>
    </xf>
    <xf numFmtId="0" fontId="0" fillId="13" borderId="0" applyAlignment="1" pivotButton="0" quotePrefix="0" xfId="0">
      <alignment vertical="top" wrapText="1"/>
    </xf>
    <xf numFmtId="0" fontId="25" fillId="0" borderId="0" applyAlignment="1" pivotButton="0" quotePrefix="0" xfId="0">
      <alignment vertical="top" wrapText="1"/>
    </xf>
    <xf numFmtId="0" fontId="12" fillId="10" borderId="1" applyAlignment="1" pivotButton="0" quotePrefix="0" xfId="0">
      <alignment horizontal="right" vertical="center"/>
    </xf>
    <xf numFmtId="0" fontId="13" fillId="13" borderId="1" applyAlignment="1" applyProtection="1" pivotButton="0" quotePrefix="0" xfId="0">
      <alignment horizontal="right" vertical="center"/>
      <protection locked="0" hidden="0"/>
    </xf>
    <xf numFmtId="0" fontId="12" fillId="10" borderId="2" applyAlignment="1" pivotButton="0" quotePrefix="0" xfId="0">
      <alignment horizontal="general" vertical="bottom"/>
    </xf>
    <xf numFmtId="10" fontId="12" fillId="10" borderId="2" applyAlignment="1" pivotButton="0" quotePrefix="0" xfId="0">
      <alignment horizontal="general" vertical="bottom"/>
    </xf>
    <xf numFmtId="3" fontId="12" fillId="10" borderId="2" applyAlignment="1" pivotButton="0" quotePrefix="0" xfId="0">
      <alignment horizontal="general" vertical="bottom"/>
    </xf>
    <xf numFmtId="2" fontId="12" fillId="10" borderId="2" applyAlignment="1" pivotButton="0" quotePrefix="0" xfId="0">
      <alignment horizontal="general" vertical="bottom"/>
    </xf>
    <xf numFmtId="0" fontId="0" fillId="14" borderId="0" applyAlignment="1" pivotButton="0" quotePrefix="0" xfId="0">
      <alignment vertical="top" wrapText="1"/>
    </xf>
    <xf numFmtId="0" fontId="26" fillId="11" borderId="0" applyAlignment="1" pivotButton="0" quotePrefix="0" xfId="0">
      <alignment vertical="top" wrapText="1"/>
    </xf>
    <xf numFmtId="0" fontId="27" fillId="0" borderId="0" applyAlignment="1" pivotButton="0" quotePrefix="0" xfId="0">
      <alignment vertical="top" wrapText="1"/>
    </xf>
    <xf numFmtId="0" fontId="28" fillId="0"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colors>
    <indexedColors>
      <rgbColor rgb="FF000000"/>
      <rgbColor rgb="FFFFFFFF"/>
      <rgbColor rgb="FFFF0000"/>
      <rgbColor rgb="FF00FF00"/>
      <rgbColor rgb="FF0000FF"/>
      <rgbColor rgb="FFFFFF00"/>
      <rgbColor rgb="FFFF00FF"/>
      <rgbColor rgb="FF00FFFF"/>
      <rgbColor rgb="FFC00000"/>
      <rgbColor rgb="FF008000"/>
      <rgbColor rgb="FF000080"/>
      <rgbColor rgb="FF808000"/>
      <rgbColor rgb="FF800080"/>
      <rgbColor rgb="FF008080"/>
      <rgbColor rgb="FFBFBFBF"/>
      <rgbColor rgb="FF808080"/>
      <rgbColor rgb="FF9999FF"/>
      <rgbColor rgb="FF993366"/>
      <rgbColor rgb="FFFFF2CC"/>
      <rgbColor rgb="FFDDEBF7"/>
      <rgbColor rgb="FF660066"/>
      <rgbColor rgb="FFFF8080"/>
      <rgbColor rgb="FF0070C0"/>
      <rgbColor rgb="FFD9D9D9"/>
      <rgbColor rgb="FF000080"/>
      <rgbColor rgb="FFFF00FF"/>
      <rgbColor rgb="FFFFFF00"/>
      <rgbColor rgb="FF00FFFF"/>
      <rgbColor rgb="FF800080"/>
      <rgbColor rgb="FF800000"/>
      <rgbColor rgb="FF008080"/>
      <rgbColor rgb="FF0000FF"/>
      <rgbColor rgb="FF00CCFF"/>
      <rgbColor rgb="FFDCE6F1"/>
      <rgbColor rgb="FFE2EFDA"/>
      <rgbColor rgb="FFF2F2F2"/>
      <rgbColor rgb="FFB8B8B8"/>
      <rgbColor rgb="FFFF99CC"/>
      <rgbColor rgb="FFCC99FF"/>
      <rgbColor rgb="FFFFCC99"/>
      <rgbColor rgb="FF4472C4"/>
      <rgbColor rgb="FF33CCCC"/>
      <rgbColor rgb="FF99CC00"/>
      <rgbColor rgb="FFFFC000"/>
      <rgbColor rgb="FFFF9900"/>
      <rgbColor rgb="FFFF6600"/>
      <rgbColor rgb="FF595959"/>
      <rgbColor rgb="FFA9A9A9"/>
      <rgbColor rgb="FF1F3864"/>
      <rgbColor rgb="FF70AD47"/>
      <rgbColor rgb="FF003300"/>
      <rgbColor rgb="FF333300"/>
      <rgbColor rgb="FF993300"/>
      <rgbColor rgb="FF993366"/>
      <rgbColor rgb="FF333399"/>
      <rgbColor rgb="FF555555"/>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outlinePr summaryBelow="1" summaryRight="1"/>
    <pageSetUpPr/>
  </sheetPr>
  <dimension ref="A1:A13"/>
  <sheetViews>
    <sheetView workbookViewId="0">
      <selection activeCell="A1" sqref="A1"/>
    </sheetView>
  </sheetViews>
  <sheetFormatPr baseColWidth="8" defaultRowHeight="15"/>
  <cols>
    <col width="118" customWidth="1" style="69" min="1" max="1"/>
  </cols>
  <sheetData>
    <row r="1">
      <c r="A1" s="166" t="inlineStr">
        <is>
          <t>CREDIT RATING SIMULATOR — TEST FIXTURES AND REFERENCE EXAMPLES</t>
        </is>
      </c>
    </row>
    <row r="2">
      <c r="A2" s="156" t="inlineStr">
        <is>
          <t>Version 3.0 — 30 July 2026. Companion to Key Input Template 2 v3.0. Aligned to Core Rating Criteria v3.0.</t>
        </is>
      </c>
    </row>
    <row r="3">
      <c r="A3" s="156" t="n"/>
    </row>
    <row r="4">
      <c r="A4" s="167" t="inlineStr">
        <is>
          <t>DO NOT UPLOAD THIS WORKBOOK ALONGSIDE A LIVE ASSESSMENT.</t>
        </is>
      </c>
    </row>
    <row r="5">
      <c r="A5" s="85" t="inlineStr">
        <is>
          <t>Every figure in this workbook is invented. The eight reference projects are hand-built fixtures for unit-testing the scoring engine, and the Sample sheet is illustrative. If this workbook sits in the same searchable knowledge base as a real assessment, a lookup for a field such as p90_plf or total_debt can return a fixture value as though it described the project under assessment. That is the same failure the Tier-3 rule guards against in the reference corpus, where rating rationales are permitted as a source of style and never of numbers (Hygiene Specification section 4.6).</t>
        </is>
      </c>
    </row>
    <row r="6">
      <c r="A6" s="156" t="n"/>
    </row>
    <row r="7">
      <c r="A7" s="168" t="inlineStr">
        <is>
          <t>What is here</t>
        </is>
      </c>
    </row>
    <row r="8">
      <c r="A8" s="156" t="inlineStr">
        <is>
          <t>Test Project Inputs — the full input set for each of the eight reference projects, keyed on the Core Rating Criteria Appendix B field names. This is what the engine's input JSON must carry to reproduce the expected outputs. Closes QA finding B3.</t>
        </is>
      </c>
    </row>
    <row r="9">
      <c r="A9" s="156" t="inlineStr">
        <is>
          <t>Test Projects — every expected output for those eight projects: block sub-scores, raw score, notches, post-notching score, indicative band, cap status and whether it binds, final band, distance to the nearest band edge, null count and confidence. Every figure is DERIVED from the inputs sheet, not asserted beside it. Closes QA finding M15.</t>
        </is>
      </c>
    </row>
    <row r="10">
      <c r="A10" s="156" t="inlineStr">
        <is>
          <t>Sample (Reference Only) — one worked Blocks B and C example, provided so a preparer can see the shape of a completed entry without a fixture sitting inside the blank template.</t>
        </is>
      </c>
    </row>
    <row r="11">
      <c r="A11" s="156" t="n"/>
    </row>
    <row r="12">
      <c r="A12" s="168" t="inlineStr">
        <is>
          <t>How to use it</t>
        </is>
      </c>
    </row>
    <row r="13">
      <c r="A13" s="156" t="inlineStr">
        <is>
          <t>Execution Manual v3.0 Activities 1.5 and 2.4 build the engine's acceptance tests from these two sheets. Keep this workbook with the source code, not with the assessment paperwork. Reference projects TP-1, TP-2 and TP-3 reproduce the results published in v2.0 exactly, which is what confirms the Section 9.8.3 band-edge definition.</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xl/worksheets/sheet2.xml><?xml version="1.0" encoding="utf-8"?>
<worksheet xmlns="http://schemas.openxmlformats.org/spreadsheetml/2006/main">
  <sheetPr filterMode="0">
    <tabColor rgb="FFFFC000"/>
    <outlinePr summaryBelow="1" summaryRight="1"/>
    <pageSetUpPr fitToPage="0"/>
  </sheetPr>
  <dimension ref="A1:J77"/>
  <sheetViews>
    <sheetView showFormulas="0" showGridLines="1" showRowColHeaders="1" showZeros="1" rightToLeft="0" tabSelected="0" showOutlineSymbols="1" defaultGridColor="1" view="normal" topLeftCell="A1" colorId="64" zoomScale="100" zoomScaleNormal="100" zoomScalePageLayoutView="100" workbookViewId="0">
      <pane xSplit="1" ySplit="5" topLeftCell="B6" activePane="bottomRight" state="frozen"/>
      <selection pane="topRight" activeCell="A1" sqref="A1"/>
      <selection pane="bottomLeft" activeCell="A1" sqref="A1"/>
      <selection pane="bottomRight" activeCell="A1" activeCellId="0" sqref="A1"/>
      <selection pane="topRight" activeCell="C1" activeCellId="0" sqref="C1"/>
      <selection pane="bottomLeft" activeCell="A6" activeCellId="0" sqref="A6"/>
      <selection pane="bottomRight" activeCell="A1" activeCellId="0" sqref="A1"/>
    </sheetView>
  </sheetViews>
  <sheetFormatPr baseColWidth="8" defaultColWidth="8.6796875" defaultRowHeight="15" zeroHeight="0" outlineLevelRow="0"/>
  <cols>
    <col width="46" customWidth="1" style="68" min="1" max="1"/>
    <col width="25" customWidth="1" style="68" min="2" max="2"/>
    <col width="25" customWidth="1" style="68" min="3" max="5"/>
    <col width="25" customWidth="1" style="69" min="4" max="4"/>
    <col width="25" customWidth="1" style="69" min="5" max="5"/>
    <col width="25" customWidth="1" style="68" min="6" max="6"/>
    <col width="25" customWidth="1" style="69" min="7" max="7"/>
    <col width="25" customWidth="1" style="69" min="8" max="8"/>
    <col width="25" customWidth="1" style="69" min="9" max="9"/>
    <col width="46" customWidth="1" style="69" min="10" max="10"/>
  </cols>
  <sheetData>
    <row r="1" ht="15.75" customHeight="1" s="69">
      <c r="A1" s="152" t="inlineStr">
        <is>
          <t>TEST PROJECTS — EXPECTED ENGINE OUTPUTS (DO NOT EDIT)</t>
        </is>
      </c>
    </row>
    <row r="2" ht="42" customHeight="1" s="69">
      <c r="A2" s="85" t="inlineStr">
        <is>
          <t>Version 3.0 — 30 July 2026. Every figure below is DERIVED from the input set on the "Test Project Inputs" sheet by the CORE v3.0 rules, not asserted independently of it. TP-1 to TP-3 reproduce the results published in v2.0 exactly, which independently confirms the Section 9.8.3 band-edge definition (QA finding M2): treating 0 and 115 as band edges would give TP-1 d=0 and TP-3 d=0 and downgrade both to Moderate.</t>
        </is>
      </c>
    </row>
    <row r="3" ht="27.75" customHeight="1" s="69">
      <c r="A3" s="85" t="inlineStr">
        <is>
          <t>v2.0 carried three projects and left seven mechanics untested — the binding cap, the ramp-up state, two of the four Section 7.2 refinancing rows, all multi-offtaker logic, the blended-tier fallback, every null path, and every Block outcome. TP-4 to TP-8 close those gaps (QA finding M15).</t>
        </is>
      </c>
    </row>
    <row r="4">
      <c r="A4" s="156" t="n"/>
      <c r="B4" s="156" t="n"/>
      <c r="C4" s="156" t="n"/>
      <c r="D4" s="156" t="n"/>
      <c r="E4" s="156" t="n"/>
      <c r="F4" s="156" t="n"/>
      <c r="G4" s="156" t="n"/>
      <c r="H4" s="156" t="n"/>
      <c r="I4" s="156" t="n"/>
      <c r="J4" s="156" t="n"/>
    </row>
    <row r="5" ht="30" customHeight="1" s="69">
      <c r="A5" s="154" t="inlineStr">
        <is>
          <t>Metric</t>
        </is>
      </c>
      <c r="B5" s="154" t="inlineStr">
        <is>
          <t>TP-1 Strong Solar</t>
        </is>
      </c>
      <c r="C5" s="154" t="inlineStr">
        <is>
          <t>TP-2 Mid Wind</t>
        </is>
      </c>
      <c r="D5" s="154" t="inlineStr">
        <is>
          <t>TP-3 Weak Hybrid</t>
        </is>
      </c>
      <c r="E5" s="154" t="inlineStr">
        <is>
          <t>TP-4 Capped AA Solar</t>
        </is>
      </c>
      <c r="F5" s="154" t="inlineStr">
        <is>
          <t>TP-5 Pre-COD Blend Wind</t>
        </is>
      </c>
      <c r="G5" s="154" t="inlineStr">
        <is>
          <t>TP-6 Ramp-up Solar</t>
        </is>
      </c>
      <c r="H5" s="154" t="inlineStr">
        <is>
          <t>TP-7 Not Rated</t>
        </is>
      </c>
      <c r="I5" s="154" t="inlineStr">
        <is>
          <t>TP-8 Validation Block</t>
        </is>
      </c>
      <c r="J5" s="154" t="inlineStr">
        <is>
          <t>Rule applied</t>
        </is>
      </c>
    </row>
    <row r="6" ht="15" customHeight="1" s="69">
      <c r="A6" s="156" t="inlineStr">
        <is>
          <t>What this project exists to test</t>
        </is>
      </c>
      <c r="B6" s="156" t="inlineStr">
        <is>
          <t>All-in strong operating solar; upper bound of the scale</t>
        </is>
      </c>
      <c r="C6" s="156" t="inlineStr">
        <is>
          <t>Mid-range operating wind; near a band edge</t>
        </is>
      </c>
      <c r="D6" s="156" t="inlineStr">
        <is>
          <t>Weak pre-COD hybrid; merchant adjustment, coverage floor, lower bound</t>
        </is>
      </c>
      <c r="E6" s="165" t="inlineStr">
        <is>
          <t>BINDING CAP: identical to TP-1 except a Weak offtaker. Isolates Section 8.4.</t>
        </is>
      </c>
      <c r="F6" s="156" t="inlineStr">
        <is>
          <t>BLENDED TIER: five counterparties, none at 0.2500. Pre-COD row-3. Partial bullet, no mitigant.</t>
        </is>
      </c>
      <c r="G6" s="156" t="inlineStr">
        <is>
          <t>RAMP-UP state. Large bullet WITH mitigant. Partial DSRA encumbrance. CCD failing the equity test. Two nulls.</t>
        </is>
      </c>
      <c r="H6" s="156" t="inlineStr">
        <is>
          <t>CRITICAL NULL: technology_type absent</t>
        </is>
      </c>
      <c r="I6" s="156" t="inlineStr">
        <is>
          <t>VALIDATION BLOCK: Average DSCR below Minimum DSCR</t>
        </is>
      </c>
      <c r="J6" s="156" t="inlineStr">
        <is>
          <t>Coverage of CORE mechanics</t>
        </is>
      </c>
    </row>
    <row r="7" ht="15" customHeight="1" s="69">
      <c r="A7" s="153" t="inlineStr">
        <is>
          <t>SELECTED INPUTS AND DERIVED RATIOS</t>
        </is>
      </c>
      <c r="B7" s="155" t="n"/>
      <c r="C7" s="155" t="n"/>
      <c r="D7" s="155" t="n"/>
      <c r="E7" s="155" t="n"/>
      <c r="F7" s="155" t="n"/>
      <c r="G7" s="155" t="n"/>
      <c r="H7" s="155" t="n"/>
      <c r="I7" s="155" t="n"/>
      <c r="J7" s="155" t="n"/>
    </row>
    <row r="8" ht="15" customHeight="1" s="69">
      <c r="A8" s="156" t="inlineStr">
        <is>
          <t>Technology type</t>
        </is>
      </c>
      <c r="B8" s="156" t="inlineStr">
        <is>
          <t>TECH_SOLAR</t>
        </is>
      </c>
      <c r="C8" s="156" t="inlineStr">
        <is>
          <t>TECH_WIND</t>
        </is>
      </c>
      <c r="D8" s="156" t="inlineStr">
        <is>
          <t>TECH_HYBRID</t>
        </is>
      </c>
      <c r="E8" s="165" t="inlineStr">
        <is>
          <t>TECH_SOLAR</t>
        </is>
      </c>
      <c r="F8" s="156" t="inlineStr">
        <is>
          <t>TECH_WIND</t>
        </is>
      </c>
      <c r="G8" s="156" t="inlineStr">
        <is>
          <t>TECH_SOLAR</t>
        </is>
      </c>
      <c r="H8" s="156" t="inlineStr">
        <is>
          <t>—</t>
        </is>
      </c>
      <c r="I8" s="156" t="inlineStr">
        <is>
          <t>—</t>
        </is>
      </c>
      <c r="J8" s="156" t="inlineStr">
        <is>
          <t>CORE 4.0 — selects threshold set</t>
        </is>
      </c>
    </row>
    <row r="9" ht="15" customHeight="1" s="69">
      <c r="A9" s="156" t="inlineStr">
        <is>
          <t>Merchant exposure (derived, 1 − contracted share)</t>
        </is>
      </c>
      <c r="B9" s="156" t="inlineStr">
        <is>
          <t>0.0300</t>
        </is>
      </c>
      <c r="C9" s="156" t="inlineStr">
        <is>
          <t>0.1200</t>
        </is>
      </c>
      <c r="D9" s="156" t="inlineStr">
        <is>
          <t>0.4500</t>
        </is>
      </c>
      <c r="E9" s="165" t="inlineStr">
        <is>
          <t>0.0300</t>
        </is>
      </c>
      <c r="F9" s="156" t="inlineStr">
        <is>
          <t>0.1000</t>
        </is>
      </c>
      <c r="G9" s="156" t="inlineStr">
        <is>
          <t>0.0500</t>
        </is>
      </c>
      <c r="H9" s="156" t="inlineStr">
        <is>
          <t>—</t>
        </is>
      </c>
      <c r="I9" s="156" t="inlineStr">
        <is>
          <t>—</t>
        </is>
      </c>
      <c r="J9" s="156" t="inlineStr">
        <is>
          <t>CORE 3.2.1, 4.0</t>
        </is>
      </c>
    </row>
    <row r="10" ht="23.25" customHeight="1" s="69">
      <c r="A10" s="156" t="inlineStr">
        <is>
          <t>DSCR tier threshold shift applied</t>
        </is>
      </c>
      <c r="B10" s="156" t="inlineStr">
        <is>
          <t>0.0000</t>
        </is>
      </c>
      <c r="C10" s="156" t="inlineStr">
        <is>
          <t>0.0000</t>
        </is>
      </c>
      <c r="D10" s="156" t="inlineStr">
        <is>
          <t>0.2000</t>
        </is>
      </c>
      <c r="E10" s="165" t="inlineStr">
        <is>
          <t>0.0000</t>
        </is>
      </c>
      <c r="F10" s="156" t="inlineStr">
        <is>
          <t>0.0000</t>
        </is>
      </c>
      <c r="G10" s="156" t="inlineStr">
        <is>
          <t>0.0000</t>
        </is>
      </c>
      <c r="H10" s="156" t="inlineStr">
        <is>
          <t>—</t>
        </is>
      </c>
      <c r="I10" s="156" t="inlineStr">
        <is>
          <t>—</t>
        </is>
      </c>
      <c r="J10" s="156" t="inlineStr">
        <is>
          <t>CORE 4.0 — fires above 0.2500 only</t>
        </is>
      </c>
    </row>
    <row r="11" ht="23.25" customHeight="1" s="69">
      <c r="A11" s="156" t="inlineStr">
        <is>
          <t>Minimum DSCR</t>
        </is>
      </c>
      <c r="B11" s="156" t="inlineStr">
        <is>
          <t>1.4500</t>
        </is>
      </c>
      <c r="C11" s="156" t="inlineStr">
        <is>
          <t>1.3400</t>
        </is>
      </c>
      <c r="D11" s="156" t="inlineStr">
        <is>
          <t>0.9600</t>
        </is>
      </c>
      <c r="E11" s="165" t="inlineStr">
        <is>
          <t>1.4500</t>
        </is>
      </c>
      <c r="F11" s="156" t="inlineStr">
        <is>
          <t>1.3200</t>
        </is>
      </c>
      <c r="G11" s="156" t="inlineStr">
        <is>
          <t>1.2800</t>
        </is>
      </c>
      <c r="H11" s="156" t="inlineStr">
        <is>
          <t>—</t>
        </is>
      </c>
      <c r="I11" s="156" t="inlineStr">
        <is>
          <t>—</t>
        </is>
      </c>
      <c r="J11" s="156" t="inlineStr">
        <is>
          <t>CORE 4.1</t>
        </is>
      </c>
    </row>
    <row r="12" ht="15" customHeight="1" s="69">
      <c r="A12" s="156" t="inlineStr">
        <is>
          <t>Average DSCR</t>
        </is>
      </c>
      <c r="B12" s="156" t="inlineStr">
        <is>
          <t>1.6800</t>
        </is>
      </c>
      <c r="C12" s="156" t="inlineStr">
        <is>
          <t>1.5200</t>
        </is>
      </c>
      <c r="D12" s="156" t="inlineStr">
        <is>
          <t>1.1500</t>
        </is>
      </c>
      <c r="E12" s="165" t="inlineStr">
        <is>
          <t>1.6800</t>
        </is>
      </c>
      <c r="F12" s="156" t="inlineStr">
        <is>
          <t>1.5500</t>
        </is>
      </c>
      <c r="G12" s="156" t="inlineStr">
        <is>
          <t>1.4800</t>
        </is>
      </c>
      <c r="H12" s="156" t="inlineStr">
        <is>
          <t>—</t>
        </is>
      </c>
      <c r="I12" s="156" t="inlineStr">
        <is>
          <t>—</t>
        </is>
      </c>
      <c r="J12" s="156" t="inlineStr">
        <is>
          <t>CORE 4.2</t>
        </is>
      </c>
    </row>
    <row r="13" ht="15" customHeight="1" s="69">
      <c r="A13" s="156" t="inlineStr">
        <is>
          <t>PLCR (derived)</t>
        </is>
      </c>
      <c r="B13" s="156" t="inlineStr">
        <is>
          <t>2.3696</t>
        </is>
      </c>
      <c r="C13" s="156" t="inlineStr">
        <is>
          <t>1.7600</t>
        </is>
      </c>
      <c r="D13" s="156" t="inlineStr">
        <is>
          <t>1.2000</t>
        </is>
      </c>
      <c r="E13" s="165" t="inlineStr">
        <is>
          <t>2.3696</t>
        </is>
      </c>
      <c r="F13" s="156" t="inlineStr">
        <is>
          <t>1.9107</t>
        </is>
      </c>
      <c r="G13" s="156" t="inlineStr">
        <is>
          <t>1.5788</t>
        </is>
      </c>
      <c r="H13" s="156" t="inlineStr">
        <is>
          <t>—</t>
        </is>
      </c>
      <c r="I13" s="156" t="inlineStr">
        <is>
          <t>—</t>
        </is>
      </c>
      <c r="J13" s="156" t="inlineStr">
        <is>
          <t>CORE 9.2 — includes other unencumbered cash</t>
        </is>
      </c>
    </row>
    <row r="14" ht="21.75" customHeight="1" s="69">
      <c r="A14" s="156" t="inlineStr">
        <is>
          <t>LLCR (derived)</t>
        </is>
      </c>
      <c r="B14" s="156" t="inlineStr">
        <is>
          <t>2.0217</t>
        </is>
      </c>
      <c r="C14" s="156" t="inlineStr">
        <is>
          <t>1.3822</t>
        </is>
      </c>
      <c r="D14" s="156" t="inlineStr">
        <is>
          <t>1.1000</t>
        </is>
      </c>
      <c r="E14" s="165" t="inlineStr">
        <is>
          <t>2.0217</t>
        </is>
      </c>
      <c r="F14" s="156" t="inlineStr">
        <is>
          <t>1.5982</t>
        </is>
      </c>
      <c r="G14" s="156" t="inlineStr">
        <is>
          <t>1.3048</t>
        </is>
      </c>
      <c r="H14" s="156" t="inlineStr">
        <is>
          <t>—</t>
        </is>
      </c>
      <c r="I14" s="156" t="inlineStr">
        <is>
          <t>—</t>
        </is>
      </c>
      <c r="J14" s="156" t="inlineStr">
        <is>
          <t>CORE 9.2</t>
        </is>
      </c>
    </row>
    <row r="15" ht="15" customHeight="1" s="69">
      <c r="A15" s="156" t="inlineStr">
        <is>
          <t>Project CFO / Adjusted Debt (derived)</t>
        </is>
      </c>
      <c r="B15" s="156" t="inlineStr">
        <is>
          <t>0.2800</t>
        </is>
      </c>
      <c r="C15" s="156" t="inlineStr">
        <is>
          <t>0.1650</t>
        </is>
      </c>
      <c r="D15" s="156" t="inlineStr">
        <is>
          <t>0.0400</t>
        </is>
      </c>
      <c r="E15" s="165" t="inlineStr">
        <is>
          <t>0.2800</t>
        </is>
      </c>
      <c r="F15" s="156" t="inlineStr">
        <is>
          <t>0.1800</t>
        </is>
      </c>
      <c r="G15" s="156" t="inlineStr">
        <is>
          <t>0.0900</t>
        </is>
      </c>
      <c r="H15" s="156" t="inlineStr">
        <is>
          <t>—</t>
        </is>
      </c>
      <c r="I15" s="156" t="inlineStr">
        <is>
          <t>—</t>
        </is>
      </c>
      <c r="J15" s="156" t="inlineStr">
        <is>
          <t>CORE 5.1</t>
        </is>
      </c>
    </row>
    <row r="16" ht="15" customHeight="1" s="69">
      <c r="A16" s="156" t="inlineStr">
        <is>
          <t>Gearing — Total Debt / TNW (derived)</t>
        </is>
      </c>
      <c r="B16" s="156" t="inlineStr">
        <is>
          <t>1.7500</t>
        </is>
      </c>
      <c r="C16" s="156" t="inlineStr">
        <is>
          <t>2.3000</t>
        </is>
      </c>
      <c r="D16" s="156" t="inlineStr">
        <is>
          <t>4.4998</t>
        </is>
      </c>
      <c r="E16" s="165" t="inlineStr">
        <is>
          <t>1.7500</t>
        </is>
      </c>
      <c r="F16" s="156" t="inlineStr">
        <is>
          <t>2.2001</t>
        </is>
      </c>
      <c r="G16" s="156" t="inlineStr">
        <is>
          <t>3.0000</t>
        </is>
      </c>
      <c r="H16" s="156" t="inlineStr">
        <is>
          <t>—</t>
        </is>
      </c>
      <c r="I16" s="156" t="inlineStr">
        <is>
          <t>—</t>
        </is>
      </c>
      <c r="J16" s="156" t="inlineStr">
        <is>
          <t>CORE 5.2, 9.3</t>
        </is>
      </c>
    </row>
    <row r="17" ht="21.75" customHeight="1" s="69">
      <c r="A17" s="156" t="inlineStr">
        <is>
          <t>Months of debt-service cover (derived, DSRA only)</t>
        </is>
      </c>
      <c r="B17" s="156" t="inlineStr">
        <is>
          <t>14.0</t>
        </is>
      </c>
      <c r="C17" s="156" t="inlineStr">
        <is>
          <t>7.5</t>
        </is>
      </c>
      <c r="D17" s="156" t="inlineStr">
        <is>
          <t>2.0</t>
        </is>
      </c>
      <c r="E17" s="165" t="inlineStr">
        <is>
          <t>14.0</t>
        </is>
      </c>
      <c r="F17" s="156" t="inlineStr">
        <is>
          <t>9.5</t>
        </is>
      </c>
      <c r="G17" s="156" t="inlineStr">
        <is>
          <t>6.0</t>
        </is>
      </c>
      <c r="H17" s="156" t="inlineStr">
        <is>
          <t>—</t>
        </is>
      </c>
      <c r="I17" s="156" t="inlineStr">
        <is>
          <t>—</t>
        </is>
      </c>
      <c r="J17" s="156" t="inlineStr">
        <is>
          <t>CORE 5.3 — other cash excluded</t>
        </is>
      </c>
    </row>
    <row r="18" ht="15" customHeight="1" s="69">
      <c r="A18" s="153" t="inlineStr">
        <is>
          <t>BLOCK SCORES</t>
        </is>
      </c>
      <c r="B18" s="155" t="n"/>
      <c r="C18" s="155" t="n"/>
      <c r="D18" s="155" t="n"/>
      <c r="E18" s="155" t="n"/>
      <c r="F18" s="155" t="n"/>
      <c r="G18" s="155" t="n"/>
      <c r="H18" s="155" t="n"/>
      <c r="I18" s="155" t="n"/>
      <c r="J18" s="155" t="n"/>
    </row>
    <row r="19" ht="15" customHeight="1" s="69">
      <c r="A19" s="156" t="inlineStr">
        <is>
          <t>Block A — Business / Operating  (max 35)</t>
        </is>
      </c>
      <c r="B19" s="156" t="n">
        <v>35</v>
      </c>
      <c r="C19" s="156" t="n">
        <v>28</v>
      </c>
      <c r="D19" s="156" t="n">
        <v>11.5</v>
      </c>
      <c r="E19" s="165" t="n">
        <v>35</v>
      </c>
      <c r="F19" s="156" t="n">
        <v>28</v>
      </c>
      <c r="G19" s="156" t="n">
        <v>22</v>
      </c>
      <c r="H19" s="156" t="inlineStr">
        <is>
          <t>—</t>
        </is>
      </c>
      <c r="I19" s="156" t="inlineStr">
        <is>
          <t>—</t>
        </is>
      </c>
      <c r="J19" s="156" t="inlineStr">
        <is>
          <t>CORE 3</t>
        </is>
      </c>
    </row>
    <row r="20" ht="15" customHeight="1" s="69">
      <c r="A20" s="156" t="inlineStr">
        <is>
          <t>Block B — Cash-flow Adequacy  (max 35)</t>
        </is>
      </c>
      <c r="B20" s="156" t="n">
        <v>35</v>
      </c>
      <c r="C20" s="156" t="n">
        <v>24.5</v>
      </c>
      <c r="D20" s="156" t="n">
        <v>3</v>
      </c>
      <c r="E20" s="165" t="n">
        <v>35</v>
      </c>
      <c r="F20" s="156" t="n">
        <v>26</v>
      </c>
      <c r="G20" s="156" t="n">
        <v>23</v>
      </c>
      <c r="H20" s="156" t="inlineStr">
        <is>
          <t>—</t>
        </is>
      </c>
      <c r="I20" s="156" t="inlineStr">
        <is>
          <t>—</t>
        </is>
      </c>
      <c r="J20" s="156" t="inlineStr">
        <is>
          <t>CORE 4</t>
        </is>
      </c>
    </row>
    <row r="21" ht="21.75" customHeight="1" s="69">
      <c r="A21" s="156" t="inlineStr">
        <is>
          <t>Block C — Financial Strength  (max 25)</t>
        </is>
      </c>
      <c r="B21" s="156" t="n">
        <v>25</v>
      </c>
      <c r="C21" s="156" t="n">
        <v>17.5</v>
      </c>
      <c r="D21" s="156" t="n">
        <v>2.5</v>
      </c>
      <c r="E21" s="165" t="n">
        <v>25</v>
      </c>
      <c r="F21" s="156" t="n">
        <v>19</v>
      </c>
      <c r="G21" s="156" t="n">
        <v>13</v>
      </c>
      <c r="H21" s="156" t="inlineStr">
        <is>
          <t>—</t>
        </is>
      </c>
      <c r="I21" s="156" t="inlineStr">
        <is>
          <t>—</t>
        </is>
      </c>
      <c r="J21" s="156" t="inlineStr">
        <is>
          <t>CORE 5</t>
        </is>
      </c>
    </row>
    <row r="22" ht="15" customHeight="1" s="69">
      <c r="A22" s="156" t="inlineStr">
        <is>
          <t>Block D — Structural Protections  (max 20)</t>
        </is>
      </c>
      <c r="B22" s="156" t="n">
        <v>20</v>
      </c>
      <c r="C22" s="156" t="n">
        <v>14.5</v>
      </c>
      <c r="D22" s="156" t="n">
        <v>5</v>
      </c>
      <c r="E22" s="165" t="n">
        <v>20</v>
      </c>
      <c r="F22" s="156" t="n">
        <v>20</v>
      </c>
      <c r="G22" s="156" t="n">
        <v>14.5</v>
      </c>
      <c r="H22" s="156" t="inlineStr">
        <is>
          <t>—</t>
        </is>
      </c>
      <c r="I22" s="156" t="inlineStr">
        <is>
          <t>—</t>
        </is>
      </c>
      <c r="J22" s="156" t="inlineStr">
        <is>
          <t>CORE 6</t>
        </is>
      </c>
    </row>
    <row r="23" ht="15" customHeight="1" s="69">
      <c r="A23" s="156" t="inlineStr">
        <is>
          <t>Raw score  (max 115)</t>
        </is>
      </c>
      <c r="B23" s="156" t="n">
        <v>115</v>
      </c>
      <c r="C23" s="156" t="n">
        <v>84.5</v>
      </c>
      <c r="D23" s="156" t="n">
        <v>22</v>
      </c>
      <c r="E23" s="165" t="n">
        <v>115</v>
      </c>
      <c r="F23" s="156" t="n">
        <v>93</v>
      </c>
      <c r="G23" s="156" t="n">
        <v>72.5</v>
      </c>
      <c r="H23" s="156" t="inlineStr">
        <is>
          <t>—</t>
        </is>
      </c>
      <c r="I23" s="156" t="inlineStr">
        <is>
          <t>—</t>
        </is>
      </c>
      <c r="J23" s="156" t="inlineStr">
        <is>
          <t>CORE 8.1 step 3 — no rounding at any level</t>
        </is>
      </c>
    </row>
    <row r="24" ht="21.75" customHeight="1" s="69">
      <c r="A24" s="153" t="inlineStr">
        <is>
          <t>NOTCHING</t>
        </is>
      </c>
      <c r="B24" s="155" t="n"/>
      <c r="C24" s="155" t="n"/>
      <c r="D24" s="155" t="n"/>
      <c r="E24" s="155" t="n"/>
      <c r="F24" s="155" t="n"/>
      <c r="G24" s="155" t="n"/>
      <c r="H24" s="155" t="n"/>
      <c r="I24" s="155" t="n"/>
      <c r="J24" s="155" t="n"/>
    </row>
    <row r="25" ht="15" customHeight="1" s="69">
      <c r="A25" s="156" t="inlineStr">
        <is>
          <t>Notching factor 1</t>
        </is>
      </c>
      <c r="B25" s="156" t="inlineStr">
        <is>
          <t>7.1 Offtaker CP_STRONG (AA): 0</t>
        </is>
      </c>
      <c r="C25" s="156" t="inlineStr">
        <is>
          <t>7.1 Offtaker CP_ADEQUATE (B): -7</t>
        </is>
      </c>
      <c r="D25" s="156" t="inlineStr">
        <is>
          <t>7.1 Offtaker CP_WEAK (BB-): -14</t>
        </is>
      </c>
      <c r="E25" s="165" t="inlineStr">
        <is>
          <t>7.1 Offtaker CP_WEAK (BB-): -14</t>
        </is>
      </c>
      <c r="F25" s="156" t="inlineStr">
        <is>
          <t>7.1 Offtaker blended (CP_ADEQUATE, blend=3.00): -7</t>
        </is>
      </c>
      <c r="G25" s="156" t="inlineStr">
        <is>
          <t>7.1 Offtaker CP_ADEQUATE (B): -7</t>
        </is>
      </c>
      <c r="H25" s="156" t="inlineStr">
        <is>
          <t>—</t>
        </is>
      </c>
      <c r="I25" s="156" t="inlineStr">
        <is>
          <t>—</t>
        </is>
      </c>
      <c r="J25" s="156" t="inlineStr">
        <is>
          <t>CORE 7.1 / 7.2 / 7.3</t>
        </is>
      </c>
    </row>
    <row r="26" ht="15" customHeight="1" s="69">
      <c r="A26" s="156" t="inlineStr">
        <is>
          <t>Notching factor 2</t>
        </is>
      </c>
      <c r="B26" s="156" t="inlineStr">
        <is>
          <t>—</t>
        </is>
      </c>
      <c r="C26" s="156" t="inlineStr">
        <is>
          <t>—</t>
        </is>
      </c>
      <c r="D26" s="156" t="inlineStr">
        <is>
          <t>7.2 Large bullet, mitigants absent: -14</t>
        </is>
      </c>
      <c r="E26" s="165" t="inlineStr">
        <is>
          <t>—</t>
        </is>
      </c>
      <c r="F26" s="156" t="inlineStr">
        <is>
          <t>7.2 Partial bullet, mitigants absent: -7</t>
        </is>
      </c>
      <c r="G26" s="156" t="inlineStr">
        <is>
          <t>7.2 Large bullet, mitigants present: -7</t>
        </is>
      </c>
      <c r="H26" s="156" t="inlineStr">
        <is>
          <t>—</t>
        </is>
      </c>
      <c r="I26" s="156" t="inlineStr">
        <is>
          <t>—</t>
        </is>
      </c>
      <c r="J26" s="156" t="inlineStr">
        <is>
          <t>CORE 7.1 / 7.2 / 7.3</t>
        </is>
      </c>
    </row>
    <row r="27" ht="15" customHeight="1" s="69">
      <c r="A27" s="156" t="inlineStr">
        <is>
          <t>Notching factor 3</t>
        </is>
      </c>
      <c r="B27" s="156" t="inlineStr">
        <is>
          <t>—</t>
        </is>
      </c>
      <c r="C27" s="156" t="inlineStr">
        <is>
          <t>—</t>
        </is>
      </c>
      <c r="D27" s="156" t="inlineStr">
        <is>
          <t>7.3 Pre-COD, row-3 conditions not met: -14</t>
        </is>
      </c>
      <c r="E27" s="165" t="inlineStr">
        <is>
          <t>—</t>
        </is>
      </c>
      <c r="F27" s="156" t="inlineStr">
        <is>
          <t>7.3 Pre-COD, all four row-3 conditions met: -7</t>
        </is>
      </c>
      <c r="G27" s="156" t="inlineStr">
        <is>
          <t>7.3 Ramp-up (&lt;12 months since COD): -7</t>
        </is>
      </c>
      <c r="H27" s="156" t="inlineStr">
        <is>
          <t>—</t>
        </is>
      </c>
      <c r="I27" s="156" t="inlineStr">
        <is>
          <t>—</t>
        </is>
      </c>
      <c r="J27" s="156" t="inlineStr">
        <is>
          <t>CORE 7.1 / 7.2 / 7.3</t>
        </is>
      </c>
    </row>
    <row r="28" ht="15" customHeight="1" s="69">
      <c r="A28" s="156" t="inlineStr">
        <is>
          <t>Total notching adjustment</t>
        </is>
      </c>
      <c r="B28" s="156" t="n">
        <v>0</v>
      </c>
      <c r="C28" s="156" t="n">
        <v>-7</v>
      </c>
      <c r="D28" s="156" t="n">
        <v>-42</v>
      </c>
      <c r="E28" s="165" t="n">
        <v>-14</v>
      </c>
      <c r="F28" s="156" t="n">
        <v>-21</v>
      </c>
      <c r="G28" s="156" t="n">
        <v>-21</v>
      </c>
      <c r="H28" s="156" t="inlineStr">
        <is>
          <t>—</t>
        </is>
      </c>
      <c r="I28" s="156" t="inlineStr">
        <is>
          <t>—</t>
        </is>
      </c>
      <c r="J28" s="156" t="inlineStr">
        <is>
          <t>CORE 7 — 1 notch = 7 points, additive</t>
        </is>
      </c>
    </row>
    <row r="29" ht="27.75" customHeight="1" s="69">
      <c r="A29" s="156" t="inlineStr">
        <is>
          <t>Post-notching score  (floored at 0)</t>
        </is>
      </c>
      <c r="B29" s="156" t="n">
        <v>115</v>
      </c>
      <c r="C29" s="156" t="n">
        <v>77.5</v>
      </c>
      <c r="D29" s="156" t="n">
        <v>0</v>
      </c>
      <c r="E29" s="165" t="n">
        <v>101</v>
      </c>
      <c r="F29" s="156" t="n">
        <v>72</v>
      </c>
      <c r="G29" s="156" t="n">
        <v>51.5</v>
      </c>
      <c r="H29" s="156" t="inlineStr">
        <is>
          <t>—</t>
        </is>
      </c>
      <c r="I29" s="156" t="inlineStr">
        <is>
          <t>—</t>
        </is>
      </c>
      <c r="J29" s="156" t="inlineStr">
        <is>
          <t>CORE 8.1 step 5</t>
        </is>
      </c>
    </row>
    <row r="30" ht="15" customHeight="1" s="69">
      <c r="A30" s="153" t="inlineStr">
        <is>
          <t>BAND, CAP AND CONFIDENCE</t>
        </is>
      </c>
      <c r="B30" s="155" t="n"/>
      <c r="C30" s="155" t="n"/>
      <c r="D30" s="155" t="n"/>
      <c r="E30" s="155" t="n"/>
      <c r="F30" s="155" t="n"/>
      <c r="G30" s="155" t="n"/>
      <c r="H30" s="155" t="n"/>
      <c r="I30" s="155" t="n"/>
      <c r="J30" s="155" t="n"/>
    </row>
    <row r="31" ht="27.75" customHeight="1" s="69">
      <c r="A31" s="156" t="inlineStr">
        <is>
          <t>Indicative band (from post-notching score)</t>
        </is>
      </c>
      <c r="B31" s="156" t="inlineStr">
        <is>
          <t>AAA</t>
        </is>
      </c>
      <c r="C31" s="156" t="inlineStr">
        <is>
          <t>BB</t>
        </is>
      </c>
      <c r="D31" s="156" t="inlineStr">
        <is>
          <t>D</t>
        </is>
      </c>
      <c r="E31" s="165" t="inlineStr">
        <is>
          <t>AA</t>
        </is>
      </c>
      <c r="F31" s="156" t="inlineStr">
        <is>
          <t>BB</t>
        </is>
      </c>
      <c r="G31" s="156" t="inlineStr">
        <is>
          <t>B</t>
        </is>
      </c>
      <c r="H31" s="156" t="inlineStr">
        <is>
          <t>—</t>
        </is>
      </c>
      <c r="I31" s="156" t="inlineStr">
        <is>
          <t>—</t>
        </is>
      </c>
      <c r="J31" s="156" t="inlineStr">
        <is>
          <t>CORE 8.2</t>
        </is>
      </c>
    </row>
    <row r="32" ht="15" customHeight="1" s="69">
      <c r="A32" s="156" t="inlineStr">
        <is>
          <t>Lowest applicable cap</t>
        </is>
      </c>
      <c r="B32" s="156" t="inlineStr">
        <is>
          <t>—</t>
        </is>
      </c>
      <c r="C32" s="156" t="inlineStr">
        <is>
          <t>—</t>
        </is>
      </c>
      <c r="D32" s="156" t="inlineStr">
        <is>
          <t>BB</t>
        </is>
      </c>
      <c r="E32" s="165" t="inlineStr">
        <is>
          <t>BB</t>
        </is>
      </c>
      <c r="F32" s="156" t="inlineStr">
        <is>
          <t>—</t>
        </is>
      </c>
      <c r="G32" s="156" t="inlineStr">
        <is>
          <t>—</t>
        </is>
      </c>
      <c r="H32" s="156" t="inlineStr">
        <is>
          <t>—</t>
        </is>
      </c>
      <c r="I32" s="156" t="inlineStr">
        <is>
          <t>—</t>
        </is>
      </c>
      <c r="J32" s="156" t="inlineStr">
        <is>
          <t>CORE 8.3</t>
        </is>
      </c>
    </row>
    <row r="33" ht="15" customHeight="1" s="69">
      <c r="A33" s="156" t="inlineStr">
        <is>
          <t>FINAL BAND</t>
        </is>
      </c>
      <c r="B33" s="156" t="inlineStr">
        <is>
          <t>AAA</t>
        </is>
      </c>
      <c r="C33" s="156" t="inlineStr">
        <is>
          <t>BB</t>
        </is>
      </c>
      <c r="D33" s="156" t="inlineStr">
        <is>
          <t>D</t>
        </is>
      </c>
      <c r="E33" s="165" t="inlineStr">
        <is>
          <t>BB</t>
        </is>
      </c>
      <c r="F33" s="156" t="inlineStr">
        <is>
          <t>BB</t>
        </is>
      </c>
      <c r="G33" s="156" t="inlineStr">
        <is>
          <t>B</t>
        </is>
      </c>
      <c r="H33" s="156" t="inlineStr">
        <is>
          <t>—</t>
        </is>
      </c>
      <c r="I33" s="156" t="inlineStr">
        <is>
          <t>—</t>
        </is>
      </c>
      <c r="J33" s="156" t="inlineStr">
        <is>
          <t>CORE 8.4 — lower of indicative band and lowest cap</t>
        </is>
      </c>
    </row>
    <row r="34" ht="15" customHeight="1" s="69">
      <c r="A34" s="156" t="inlineStr">
        <is>
          <t>Cap binding? (final band differs from indicative)</t>
        </is>
      </c>
      <c r="B34" s="156" t="inlineStr">
        <is>
          <t>NO</t>
        </is>
      </c>
      <c r="C34" s="156" t="inlineStr">
        <is>
          <t>NO</t>
        </is>
      </c>
      <c r="D34" s="156" t="inlineStr">
        <is>
          <t>NO</t>
        </is>
      </c>
      <c r="E34" s="165" t="inlineStr">
        <is>
          <t>YES</t>
        </is>
      </c>
      <c r="F34" s="156" t="inlineStr">
        <is>
          <t>NO</t>
        </is>
      </c>
      <c r="G34" s="156" t="inlineStr">
        <is>
          <t>NO</t>
        </is>
      </c>
      <c r="H34" s="156" t="inlineStr">
        <is>
          <t>—</t>
        </is>
      </c>
      <c r="I34" s="156" t="inlineStr">
        <is>
          <t>—</t>
        </is>
      </c>
      <c r="J34" s="156" t="inlineStr">
        <is>
          <t>CORE 8.4, 9.8.3</t>
        </is>
      </c>
    </row>
    <row r="35" ht="15" customHeight="1" s="69">
      <c r="A35" s="156" t="inlineStr">
        <is>
          <t>Distance to nearest band edge (d)</t>
        </is>
      </c>
      <c r="B35" s="156" t="n">
        <v>7</v>
      </c>
      <c r="C35" s="156" t="n">
        <v>0.5</v>
      </c>
      <c r="D35" s="156" t="n">
        <v>22</v>
      </c>
      <c r="E35" s="165" t="n">
        <v>1</v>
      </c>
      <c r="F35" s="156" t="n">
        <v>6</v>
      </c>
      <c r="G35" s="156" t="n">
        <v>8.5</v>
      </c>
      <c r="H35" s="156" t="inlineStr">
        <is>
          <t>—</t>
        </is>
      </c>
      <c r="I35" s="156" t="inlineStr">
        <is>
          <t>—</t>
        </is>
      </c>
      <c r="J35" s="156" t="inlineStr">
        <is>
          <t>CORE 9.8.3 — edges are the 7 interior thresholds 22/43/64/78/90/100/108; 0 and 115 are NOT edges</t>
        </is>
      </c>
    </row>
    <row r="36" ht="15" customHeight="1" s="69">
      <c r="A36" s="156" t="inlineStr">
        <is>
          <t>Non-critical nulls in the Null Register</t>
        </is>
      </c>
      <c r="B36" s="156" t="n">
        <v>0</v>
      </c>
      <c r="C36" s="156" t="n">
        <v>0</v>
      </c>
      <c r="D36" s="156" t="n">
        <v>0</v>
      </c>
      <c r="E36" s="165" t="n">
        <v>0</v>
      </c>
      <c r="F36" s="156" t="n">
        <v>0</v>
      </c>
      <c r="G36" s="156" t="n">
        <v>2</v>
      </c>
      <c r="H36" s="156" t="inlineStr">
        <is>
          <t>—</t>
        </is>
      </c>
      <c r="I36" s="156" t="inlineStr">
        <is>
          <t>—</t>
        </is>
      </c>
      <c r="J36" s="156" t="inlineStr">
        <is>
          <t>CORE 9.8.2</t>
        </is>
      </c>
    </row>
    <row r="37" ht="15" customHeight="1" s="69">
      <c r="A37" s="156" t="inlineStr">
        <is>
          <t>CONFIDENCE</t>
        </is>
      </c>
      <c r="B37" s="156" t="inlineStr">
        <is>
          <t>High</t>
        </is>
      </c>
      <c r="C37" s="156" t="inlineStr">
        <is>
          <t>Moderate</t>
        </is>
      </c>
      <c r="D37" s="156" t="inlineStr">
        <is>
          <t>High</t>
        </is>
      </c>
      <c r="E37" s="165" t="inlineStr">
        <is>
          <t>Moderate</t>
        </is>
      </c>
      <c r="F37" s="156" t="inlineStr">
        <is>
          <t>High</t>
        </is>
      </c>
      <c r="G37" s="156" t="inlineStr">
        <is>
          <t>Moderate</t>
        </is>
      </c>
      <c r="H37" s="156" t="inlineStr">
        <is>
          <t>Not Rated</t>
        </is>
      </c>
      <c r="I37" s="156" t="inlineStr">
        <is>
          <t>n/a — no result</t>
        </is>
      </c>
      <c r="J37" s="156" t="inlineStr">
        <is>
          <t>CORE 9.8.3 — Moderate if d &lt; 3.0, OR a BINDING cap, OR 1-3 nulls</t>
        </is>
      </c>
    </row>
    <row r="38" ht="15" customHeight="1" s="69">
      <c r="A38" s="156" t="inlineStr">
        <is>
          <t>Confidence reason</t>
        </is>
      </c>
      <c r="B38" s="156" t="inlineStr">
        <is>
          <t>d = 7.0, no cap, no nulls</t>
        </is>
      </c>
      <c r="C38" s="156" t="inlineStr">
        <is>
          <t>d = 0.5 — within 3.0 points of the BB/BBB edge at 78</t>
        </is>
      </c>
      <c r="D38" s="156" t="inlineStr">
        <is>
          <t>d = 22.0; the two caps (BB from the Weak offtaker, BB from the coverage floor) are NOT binding — the indicative band is already D</t>
        </is>
      </c>
      <c r="E38" s="165" t="inlineStr">
        <is>
          <t>BINDING CAP: indicative AA, final BB. The score is not altered (CORE 8.4); the cap is disclosed instead.</t>
        </is>
      </c>
      <c r="F38" s="156" t="inlineStr">
        <is>
          <t>d = 6.0, no cap binding, no nulls</t>
        </is>
      </c>
      <c r="G38" s="156" t="inlineStr">
        <is>
          <t>Two non-critical nulls: reinvestment_ratio (Section 3.4, 3 pts forgone) and operator_mw_under_om (Section 3.6, 2 pts forgone)</t>
        </is>
      </c>
      <c r="H38" s="156" t="inlineStr">
        <is>
          <t>Critical null — no band issued</t>
        </is>
      </c>
      <c r="I38" s="156" t="inlineStr">
        <is>
          <t>Validation Block — no band issued</t>
        </is>
      </c>
      <c r="J38" s="156" t="inlineStr">
        <is>
          <t>CORE 9.8.3 — mandatory wherever confidence is not High</t>
        </is>
      </c>
    </row>
    <row r="39" ht="15" customHeight="1" s="69">
      <c r="A39" s="153" t="inlineStr">
        <is>
          <t>PIPELINE OUTCOME (CORE Section 10.1.1)</t>
        </is>
      </c>
      <c r="B39" s="155" t="n"/>
      <c r="C39" s="155" t="n"/>
      <c r="D39" s="155" t="n"/>
      <c r="E39" s="155" t="n"/>
      <c r="F39" s="155" t="n"/>
      <c r="G39" s="155" t="n"/>
      <c r="H39" s="155" t="n"/>
      <c r="I39" s="155" t="n"/>
      <c r="J39" s="155" t="n"/>
    </row>
    <row r="40" ht="15" customHeight="1" s="69">
      <c r="A40" s="156" t="inlineStr">
        <is>
          <t>Stage at which the pipeline terminates</t>
        </is>
      </c>
      <c r="B40" s="156" t="inlineStr">
        <is>
          <t>Stage 5 — complete</t>
        </is>
      </c>
      <c r="C40" s="156" t="inlineStr">
        <is>
          <t>Stage 5 — complete</t>
        </is>
      </c>
      <c r="D40" s="156" t="inlineStr">
        <is>
          <t>Stage 5 — complete</t>
        </is>
      </c>
      <c r="E40" s="165" t="inlineStr">
        <is>
          <t>Stage 5 — complete</t>
        </is>
      </c>
      <c r="F40" s="156" t="inlineStr">
        <is>
          <t>Stage 5 — complete</t>
        </is>
      </c>
      <c r="G40" s="156" t="inlineStr">
        <is>
          <t>Stage 5 — complete</t>
        </is>
      </c>
      <c r="H40" s="156" t="inlineStr">
        <is>
          <t>STAGE 1 — critical null. Returns "Insufficient Input — Not Rated" naming technology_type. No score, no band, no validation results, no partial output.</t>
        </is>
      </c>
      <c r="I40" s="156" t="inlineStr">
        <is>
          <t>STAGE 3 — V1 Block. Average DSCR 1.1000 &lt; Minimum DSCR 1.2000. Validation report returned; no score.</t>
        </is>
      </c>
      <c r="J40" s="156" t="inlineStr">
        <is>
          <t>CORE 10.1.1</t>
        </is>
      </c>
    </row>
    <row r="41" ht="21.75" customHeight="1" s="69">
      <c r="A41" s="156" t="inlineStr">
        <is>
          <t>Validation results carried into the output</t>
        </is>
      </c>
      <c r="B41" s="156" t="inlineStr">
        <is>
          <t>All Pass</t>
        </is>
      </c>
      <c r="C41" s="156" t="inlineStr">
        <is>
          <t>All Pass</t>
        </is>
      </c>
      <c r="D41" s="156" t="inlineStr">
        <is>
          <t>V8 Warn (Min DSCR &lt; 1.00x with PLCR ≥ 1.40x is not triggered here — PLCR is 1.2000, so V8 Passes)</t>
        </is>
      </c>
      <c r="E41" s="165" t="inlineStr">
        <is>
          <t>All Pass</t>
        </is>
      </c>
      <c r="F41" s="156" t="inlineStr">
        <is>
          <t>All Pass</t>
        </is>
      </c>
      <c r="G41" s="156" t="inlineStr">
        <is>
          <t>V9 not triggered (TNW positive). Two Null Register entries; the V-rules touching them return Not Evaluated where an operand is null.</t>
        </is>
      </c>
      <c r="H41" s="156" t="inlineStr">
        <is>
          <t>Not run — pipeline stopped at Stage 1</t>
        </is>
      </c>
      <c r="I41" s="156" t="inlineStr">
        <is>
          <t>V1 BLOCK</t>
        </is>
      </c>
      <c r="J41" s="156" t="inlineStr">
        <is>
          <t>CORE 10.1, 10.1.1</t>
        </is>
      </c>
    </row>
    <row r="42" ht="15" customHeight="1" s="69"/>
    <row r="43" ht="15" customHeight="1" s="69"/>
    <row r="44" ht="15" customHeight="1" s="69"/>
    <row r="45" ht="15" customHeight="1" s="69"/>
    <row r="46" ht="15" customHeight="1" s="69"/>
    <row r="47" ht="15" customHeight="1" s="69"/>
    <row r="48" ht="15" customHeight="1" s="69"/>
    <row r="49" ht="15" customHeight="1" s="69"/>
    <row r="50" ht="15" customHeight="1" s="69"/>
    <row r="51" ht="15" customHeight="1" s="69"/>
    <row r="52" ht="15" customHeight="1" s="69"/>
    <row r="53" ht="15" customHeight="1" s="69"/>
    <row r="54" ht="21.75" customHeight="1" s="69"/>
    <row r="55" ht="23.25" customHeight="1" s="69"/>
    <row r="56" ht="27.75" customHeight="1" s="69"/>
    <row r="57" ht="23.25" customHeight="1" s="69"/>
    <row r="58" ht="15" customHeight="1" s="69"/>
    <row r="59" ht="34.5" customHeight="1" s="69"/>
    <row r="60" ht="15" customHeight="1" s="69"/>
    <row r="61" ht="15" customHeight="1" s="69"/>
    <row r="62" ht="21.75" customHeight="1" s="69"/>
    <row r="63" ht="15" customHeight="1" s="69"/>
    <row r="64" ht="15" customHeight="1" s="69"/>
    <row r="65" ht="45.75" customHeight="1" s="69"/>
    <row r="66" ht="21.75" customHeight="1" s="69"/>
    <row r="67" ht="23.25" customHeight="1" s="69"/>
    <row r="68" ht="15" customHeight="1" s="69"/>
    <row r="69" ht="15" customHeight="1" s="69"/>
    <row r="70" ht="15" customHeight="1" s="69"/>
    <row r="71" ht="34.5" customHeight="1" s="69"/>
    <row r="73" ht="15" customHeight="1" s="69"/>
    <row r="74" ht="43.5" customHeight="1" s="69"/>
    <row r="75" ht="43.5" customHeight="1" s="69"/>
    <row r="76" ht="57.75" customHeight="1" s="69"/>
    <row r="77" ht="57.75" customHeight="1" s="69"/>
  </sheetData>
  <sheetProtection selectLockedCells="0" selectUnlockedCells="0" sheet="1" objects="0" insertRows="1" insertHyperlinks="1" autoFilter="0" scenarios="0" formatColumns="0" deleteColumns="1" insertColumns="1" pivotTables="1" deleteRows="1" formatCells="0" formatRows="0" sort="0"/>
  <mergeCells count="4">
    <mergeCell ref="B76:F76"/>
    <mergeCell ref="B75:F75"/>
    <mergeCell ref="B77:F77"/>
    <mergeCell ref="B74:F74"/>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outlinePr summaryBelow="1" summaryRight="1"/>
    <pageSetUpPr/>
  </sheetPr>
  <dimension ref="A1:P113"/>
  <sheetViews>
    <sheetView workbookViewId="0">
      <pane xSplit="1" ySplit="4" topLeftCell="B5" activePane="bottomRight" state="frozen"/>
      <selection pane="topRight" activeCell="A1" sqref="A1"/>
      <selection pane="bottomLeft" activeCell="A1" sqref="A1"/>
      <selection pane="bottomRight" activeCell="A1" sqref="A1"/>
    </sheetView>
  </sheetViews>
  <sheetFormatPr baseColWidth="8" defaultRowHeight="15"/>
  <cols>
    <col width="52" customWidth="1" style="69" min="1" max="1"/>
    <col width="27" customWidth="1" style="69" min="2" max="2"/>
    <col width="27" customWidth="1" style="69" min="3" max="3"/>
    <col width="27" customWidth="1" style="69" min="4" max="4"/>
    <col width="27" customWidth="1" style="69" min="5" max="5"/>
    <col width="27" customWidth="1" style="69" min="6" max="6"/>
    <col width="27" customWidth="1" style="69" min="7" max="7"/>
    <col width="27" customWidth="1" style="69" min="8" max="8"/>
    <col width="27" customWidth="1" style="69" min="9" max="9"/>
  </cols>
  <sheetData>
    <row r="1">
      <c r="A1" s="152" t="inlineStr">
        <is>
          <t>TEST PROJECT INPUTS — FULL INPUT SET PER REFERENCE PROJECT (DO NOT EDIT)</t>
        </is>
      </c>
    </row>
    <row r="2">
      <c r="A2" s="85" t="inlineStr">
        <is>
          <t>Keyed on the CORE v3.0 Appendix B field names. These are the values the engine's input JSON must carry to reproduce the expected outputs on the "Test Projects" sheet. Execution Manual Activity 1.5 asserted that the Test Projects sheet already carried "its full input set"; it carried only sub-scores and a handful of parameters, so the engine's acceptance test could not be executed from it and a developer would have had to reverse-engineer inputs that happened to produce the stated scores (QA finding B3). ALL PERCENTAGES ARE DECIMAL FRACTIONS (QA finding B7). Enumerated values are Appendix A CODES (QA finding M10).</t>
        </is>
      </c>
    </row>
    <row r="4">
      <c r="A4" s="154" t="inlineStr">
        <is>
          <t>Field  {CORE Appendix B}</t>
        </is>
      </c>
      <c r="B4" s="154" t="inlineStr">
        <is>
          <t>TP-1 Strong Solar</t>
        </is>
      </c>
      <c r="C4" s="154" t="inlineStr">
        <is>
          <t>TP-2 Mid Wind</t>
        </is>
      </c>
      <c r="D4" s="154" t="inlineStr">
        <is>
          <t>TP-3 Weak Hybrid</t>
        </is>
      </c>
      <c r="E4" s="154" t="inlineStr">
        <is>
          <t>TP-4 Capped AA Solar</t>
        </is>
      </c>
      <c r="F4" s="154" t="inlineStr">
        <is>
          <t>TP-5 Pre-COD Blend Wind</t>
        </is>
      </c>
      <c r="G4" s="154" t="inlineStr">
        <is>
          <t>TP-6 Ramp-up Solar</t>
        </is>
      </c>
      <c r="H4" s="154" t="inlineStr">
        <is>
          <t>TP-7 Not Rated</t>
        </is>
      </c>
      <c r="I4" s="154" t="inlineStr">
        <is>
          <t>TP-8 Validation Block</t>
        </is>
      </c>
    </row>
    <row r="5">
      <c r="A5" s="153" t="inlineStr">
        <is>
          <t>Project identification and parameters</t>
        </is>
      </c>
      <c r="B5" s="155" t="n"/>
      <c r="C5" s="155" t="n"/>
      <c r="D5" s="155" t="n"/>
      <c r="E5" s="155" t="n"/>
      <c r="F5" s="155" t="n"/>
      <c r="G5" s="155" t="n"/>
      <c r="H5" s="155" t="n"/>
      <c r="I5" s="155" t="n"/>
    </row>
    <row r="6">
      <c r="A6" s="68" t="inlineStr">
        <is>
          <t>technology_type</t>
        </is>
      </c>
      <c r="B6" s="68" t="inlineStr">
        <is>
          <t>TECH_SOLAR</t>
        </is>
      </c>
      <c r="C6" s="68" t="inlineStr">
        <is>
          <t>TECH_WIND</t>
        </is>
      </c>
      <c r="D6" s="68" t="inlineStr">
        <is>
          <t>TECH_HYBRID</t>
        </is>
      </c>
      <c r="E6" s="68" t="inlineStr">
        <is>
          <t>TECH_SOLAR</t>
        </is>
      </c>
      <c r="F6" s="68" t="inlineStr">
        <is>
          <t>TECH_WIND</t>
        </is>
      </c>
      <c r="G6" s="68" t="inlineStr">
        <is>
          <t>TECH_SOLAR</t>
        </is>
      </c>
      <c r="H6" s="68" t="inlineStr">
        <is>
          <t>(null — CRITICAL)</t>
        </is>
      </c>
      <c r="I6" s="68" t="inlineStr">
        <is>
          <t>TECH_SOLAR</t>
        </is>
      </c>
    </row>
    <row r="7">
      <c r="A7" s="68" t="inlineStr">
        <is>
          <t>project_status</t>
        </is>
      </c>
      <c r="B7" s="68" t="inlineStr">
        <is>
          <t>STATUS_OPERATING</t>
        </is>
      </c>
      <c r="C7" s="68" t="inlineStr">
        <is>
          <t>STATUS_OPERATING</t>
        </is>
      </c>
      <c r="D7" s="68" t="inlineStr">
        <is>
          <t>STATUS_PRECOD</t>
        </is>
      </c>
      <c r="E7" s="68" t="inlineStr">
        <is>
          <t>STATUS_OPERATING</t>
        </is>
      </c>
      <c r="F7" s="68" t="inlineStr">
        <is>
          <t>STATUS_PRECOD</t>
        </is>
      </c>
      <c r="G7" s="68" t="inlineStr">
        <is>
          <t>STATUS_OPERATING</t>
        </is>
      </c>
      <c r="H7" s="68" t="inlineStr">
        <is>
          <t>STATUS_OPERATING</t>
        </is>
      </c>
      <c r="I7" s="68" t="inlineStr">
        <is>
          <t>STATUS_OPERATING</t>
        </is>
      </c>
    </row>
    <row r="8">
      <c r="A8" s="68" t="inlineStr">
        <is>
          <t>cod_date</t>
        </is>
      </c>
      <c r="B8" s="68" t="inlineStr">
        <is>
          <t>2022-07-01</t>
        </is>
      </c>
      <c r="C8" s="68" t="inlineStr">
        <is>
          <t>2025-05-30</t>
        </is>
      </c>
      <c r="D8" s="68" t="inlineStr">
        <is>
          <t>2027-03-31</t>
        </is>
      </c>
      <c r="E8" s="68" t="inlineStr">
        <is>
          <t>2022-07-01</t>
        </is>
      </c>
      <c r="F8" s="68" t="inlineStr">
        <is>
          <t>2028-06-30</t>
        </is>
      </c>
      <c r="G8" s="68" t="inlineStr">
        <is>
          <t>2025-11-30</t>
        </is>
      </c>
      <c r="H8" s="68" t="inlineStr">
        <is>
          <t>2022-07-01</t>
        </is>
      </c>
      <c r="I8" s="68" t="inlineStr">
        <is>
          <t>2022-07-01</t>
        </is>
      </c>
    </row>
    <row r="9">
      <c r="A9" s="68" t="inlineStr">
        <is>
          <t>calculation_date</t>
        </is>
      </c>
      <c r="B9" s="68" t="inlineStr">
        <is>
          <t>2026-07-30</t>
        </is>
      </c>
      <c r="C9" s="68" t="inlineStr">
        <is>
          <t>2026-07-30</t>
        </is>
      </c>
      <c r="D9" s="68" t="inlineStr">
        <is>
          <t>2026-07-30</t>
        </is>
      </c>
      <c r="E9" s="68" t="inlineStr">
        <is>
          <t>2026-07-30</t>
        </is>
      </c>
      <c r="F9" s="68" t="inlineStr">
        <is>
          <t>2026-07-30</t>
        </is>
      </c>
      <c r="G9" s="68" t="inlineStr">
        <is>
          <t>2026-07-30</t>
        </is>
      </c>
      <c r="H9" s="68" t="inlineStr">
        <is>
          <t>2026-07-30</t>
        </is>
      </c>
      <c r="I9" s="68" t="inlineStr">
        <is>
          <t>2026-07-30</t>
        </is>
      </c>
    </row>
    <row r="10">
      <c r="A10" s="68" t="inlineStr">
        <is>
          <t>installed_capacity_mw_ac</t>
        </is>
      </c>
      <c r="B10" s="68" t="n">
        <v>250</v>
      </c>
      <c r="C10" s="68" t="n">
        <v>150</v>
      </c>
      <c r="D10" s="68" t="n">
        <v>300</v>
      </c>
      <c r="E10" s="68" t="n">
        <v>250</v>
      </c>
      <c r="F10" s="68" t="n">
        <v>200</v>
      </c>
      <c r="G10" s="68" t="n">
        <v>120</v>
      </c>
      <c r="H10" s="68" t="n">
        <v>250</v>
      </c>
      <c r="I10" s="68" t="n">
        <v>250</v>
      </c>
    </row>
    <row r="11">
      <c r="A11" s="68" t="inlineStr">
        <is>
          <t>currency_unit</t>
        </is>
      </c>
      <c r="B11" s="68" t="inlineStr">
        <is>
          <t>INR Lakh</t>
        </is>
      </c>
      <c r="C11" s="68" t="inlineStr">
        <is>
          <t>INR Lakh</t>
        </is>
      </c>
      <c r="D11" s="68" t="inlineStr">
        <is>
          <t>INR Lakh</t>
        </is>
      </c>
      <c r="E11" s="68" t="inlineStr">
        <is>
          <t>INR Lakh</t>
        </is>
      </c>
      <c r="F11" s="68" t="inlineStr">
        <is>
          <t>INR Lakh</t>
        </is>
      </c>
      <c r="G11" s="68" t="inlineStr">
        <is>
          <t>INR Lakh</t>
        </is>
      </c>
      <c r="H11" s="68" t="inlineStr">
        <is>
          <t>INR Lakh</t>
        </is>
      </c>
      <c r="I11" s="68" t="inlineStr">
        <is>
          <t>INR Lakh</t>
        </is>
      </c>
    </row>
    <row r="12">
      <c r="A12" s="153" t="inlineStr">
        <is>
          <t>Block A — Business / Operating</t>
        </is>
      </c>
      <c r="B12" s="155" t="n"/>
      <c r="C12" s="155" t="n"/>
      <c r="D12" s="155" t="n"/>
      <c r="E12" s="155" t="n"/>
      <c r="F12" s="155" t="n"/>
      <c r="G12" s="155" t="n"/>
      <c r="H12" s="155" t="n"/>
      <c r="I12" s="155" t="n"/>
    </row>
    <row r="13">
      <c r="A13" s="68" t="inlineStr">
        <is>
          <t>competitive_position</t>
        </is>
      </c>
      <c r="B13" s="68" t="inlineStr">
        <is>
          <t>COMP_POS_5</t>
        </is>
      </c>
      <c r="C13" s="68" t="inlineStr">
        <is>
          <t>COMP_POS_4</t>
        </is>
      </c>
      <c r="D13" s="68" t="inlineStr">
        <is>
          <t>COMP_POS_2</t>
        </is>
      </c>
      <c r="E13" s="68" t="inlineStr">
        <is>
          <t>COMP_POS_5</t>
        </is>
      </c>
      <c r="F13" s="68" t="inlineStr">
        <is>
          <t>COMP_POS_5</t>
        </is>
      </c>
      <c r="G13" s="68" t="inlineStr">
        <is>
          <t>COMP_POS_4</t>
        </is>
      </c>
      <c r="H13" s="68" t="inlineStr">
        <is>
          <t>COMP_POS_5</t>
        </is>
      </c>
      <c r="I13" s="68" t="inlineStr">
        <is>
          <t>COMP_POS_5</t>
        </is>
      </c>
    </row>
    <row r="14">
      <c r="A14" s="68" t="inlineStr">
        <is>
          <t>contracted_revenue_share</t>
        </is>
      </c>
      <c r="B14" s="68" t="n">
        <v>0.97</v>
      </c>
      <c r="C14" s="68" t="n">
        <v>0.88</v>
      </c>
      <c r="D14" s="68" t="n">
        <v>0.55</v>
      </c>
      <c r="E14" s="68" t="n">
        <v>0.97</v>
      </c>
      <c r="F14" s="68" t="n">
        <v>0.9</v>
      </c>
      <c r="G14" s="68" t="n">
        <v>0.95</v>
      </c>
      <c r="H14" s="68" t="n">
        <v>0.97</v>
      </c>
      <c r="I14" s="68" t="n">
        <v>0.97</v>
      </c>
    </row>
    <row r="15">
      <c r="A15" s="68" t="inlineStr">
        <is>
          <t>contracted_share_full_tenor</t>
        </is>
      </c>
      <c r="B15" s="68" t="n">
        <v>0.97</v>
      </c>
      <c r="C15" s="68" t="n">
        <v>0.88</v>
      </c>
      <c r="D15" s="68" t="n">
        <v>0.55</v>
      </c>
      <c r="E15" s="68" t="n">
        <v>0.97</v>
      </c>
      <c r="F15" s="68" t="n">
        <v>0.9</v>
      </c>
      <c r="G15" s="68" t="n">
        <v>0.95</v>
      </c>
      <c r="H15" s="68" t="n">
        <v>0.97</v>
      </c>
      <c r="I15" s="68" t="n">
        <v>0.97</v>
      </c>
    </row>
    <row r="16">
      <c r="A16" s="68" t="inlineStr">
        <is>
          <t>contracted_share_75pc_tenor</t>
        </is>
      </c>
      <c r="B16" s="68" t="n">
        <v>0.97</v>
      </c>
      <c r="C16" s="68" t="n">
        <v>0.92</v>
      </c>
      <c r="D16" s="68" t="n">
        <v>0.6</v>
      </c>
      <c r="E16" s="68" t="n">
        <v>0.97</v>
      </c>
      <c r="F16" s="68" t="n">
        <v>0.95</v>
      </c>
      <c r="G16" s="68" t="n">
        <v>0.95</v>
      </c>
      <c r="H16" s="68" t="n">
        <v>0.97</v>
      </c>
      <c r="I16" s="68" t="n">
        <v>0.97</v>
      </c>
    </row>
    <row r="17">
      <c r="A17" s="68" t="inlineStr">
        <is>
          <t>remaining_contracted_tenor_years</t>
        </is>
      </c>
      <c r="B17" s="68" t="n">
        <v>18</v>
      </c>
      <c r="C17" s="68" t="n">
        <v>16.5</v>
      </c>
      <c r="D17" s="68" t="n">
        <v>20</v>
      </c>
      <c r="E17" s="68" t="n">
        <v>18</v>
      </c>
      <c r="F17" s="68" t="n">
        <v>22</v>
      </c>
      <c r="G17" s="68" t="n">
        <v>19.5</v>
      </c>
      <c r="H17" s="68" t="n">
        <v>18</v>
      </c>
      <c r="I17" s="68" t="n">
        <v>18</v>
      </c>
    </row>
    <row r="18">
      <c r="A18" s="68" t="inlineStr">
        <is>
          <t>remaining_debt_tenor_years</t>
        </is>
      </c>
      <c r="B18" s="68" t="n">
        <v>15</v>
      </c>
      <c r="C18" s="68" t="n">
        <v>14</v>
      </c>
      <c r="D18" s="68" t="n">
        <v>18</v>
      </c>
      <c r="E18" s="68" t="n">
        <v>15</v>
      </c>
      <c r="F18" s="68" t="n">
        <v>18</v>
      </c>
      <c r="G18" s="68" t="n">
        <v>17</v>
      </c>
      <c r="H18" s="68" t="n">
        <v>15</v>
      </c>
      <c r="I18" s="68" t="n">
        <v>15</v>
      </c>
    </row>
    <row r="19">
      <c r="A19" s="68" t="inlineStr">
        <is>
          <t>price_volume_risk</t>
        </is>
      </c>
      <c r="B19" s="68" t="inlineStr">
        <is>
          <t>PRICE_VOL_5</t>
        </is>
      </c>
      <c r="C19" s="68" t="inlineStr">
        <is>
          <t>PRICE_VOL_4</t>
        </is>
      </c>
      <c r="D19" s="68" t="inlineStr">
        <is>
          <t>PRICE_VOL_2</t>
        </is>
      </c>
      <c r="E19" s="68" t="inlineStr">
        <is>
          <t>PRICE_VOL_5</t>
        </is>
      </c>
      <c r="F19" s="68" t="inlineStr">
        <is>
          <t>PRICE_VOL_4</t>
        </is>
      </c>
      <c r="G19" s="68" t="inlineStr">
        <is>
          <t>PRICE_VOL_4</t>
        </is>
      </c>
      <c r="H19" s="68" t="inlineStr">
        <is>
          <t>PRICE_VOL_5</t>
        </is>
      </c>
      <c r="I19" s="68" t="inlineStr">
        <is>
          <t>PRICE_VOL_5</t>
        </is>
      </c>
    </row>
    <row r="20">
      <c r="A20" s="68" t="inlineStr">
        <is>
          <t>land_acquisition_status</t>
        </is>
      </c>
      <c r="B20" s="68" t="inlineStr">
        <is>
          <t>PERMIT_COMPLETE</t>
        </is>
      </c>
      <c r="C20" s="68" t="inlineStr">
        <is>
          <t>PERMIT_COMPLETE</t>
        </is>
      </c>
      <c r="D20" s="68" t="inlineStr">
        <is>
          <t>PERMIT_NOT_STARTED</t>
        </is>
      </c>
      <c r="E20" s="68" t="inlineStr">
        <is>
          <t>PERMIT_COMPLETE</t>
        </is>
      </c>
      <c r="F20" s="68" t="inlineStr">
        <is>
          <t>PERMIT_COMPLETE</t>
        </is>
      </c>
      <c r="G20" s="68" t="inlineStr">
        <is>
          <t>PERMIT_COMPLETE</t>
        </is>
      </c>
      <c r="H20" s="68" t="inlineStr">
        <is>
          <t>PERMIT_COMPLETE</t>
        </is>
      </c>
      <c r="I20" s="68" t="inlineStr">
        <is>
          <t>PERMIT_COMPLETE</t>
        </is>
      </c>
    </row>
    <row r="21">
      <c r="A21" s="68" t="inlineStr">
        <is>
          <t>transmission_connectivity_status</t>
        </is>
      </c>
      <c r="B21" s="68" t="inlineStr">
        <is>
          <t>PERMIT_COMPLETE</t>
        </is>
      </c>
      <c r="C21" s="68" t="inlineStr">
        <is>
          <t>PERMIT_COMPLETE</t>
        </is>
      </c>
      <c r="D21" s="68" t="inlineStr">
        <is>
          <t>PERMIT_IN_PROGRESS</t>
        </is>
      </c>
      <c r="E21" s="68" t="inlineStr">
        <is>
          <t>PERMIT_COMPLETE</t>
        </is>
      </c>
      <c r="F21" s="68" t="inlineStr">
        <is>
          <t>PERMIT_IN_PROGRESS</t>
        </is>
      </c>
      <c r="G21" s="68" t="inlineStr">
        <is>
          <t>PERMIT_COMPLETE</t>
        </is>
      </c>
      <c r="H21" s="68" t="inlineStr">
        <is>
          <t>PERMIT_COMPLETE</t>
        </is>
      </c>
      <c r="I21" s="68" t="inlineStr">
        <is>
          <t>PERMIT_COMPLETE</t>
        </is>
      </c>
    </row>
    <row r="22">
      <c r="A22" s="68" t="inlineStr">
        <is>
          <t>statutory_clearances_status</t>
        </is>
      </c>
      <c r="B22" s="68" t="inlineStr">
        <is>
          <t>PERMIT_COMPLETE</t>
        </is>
      </c>
      <c r="C22" s="68" t="inlineStr">
        <is>
          <t>PERMIT_COMPLETE</t>
        </is>
      </c>
      <c r="D22" s="68" t="inlineStr">
        <is>
          <t>PERMIT_IN_PROGRESS</t>
        </is>
      </c>
      <c r="E22" s="68" t="inlineStr">
        <is>
          <t>PERMIT_COMPLETE</t>
        </is>
      </c>
      <c r="F22" s="68" t="inlineStr">
        <is>
          <t>PERMIT_COMPLETE</t>
        </is>
      </c>
      <c r="G22" s="68" t="inlineStr">
        <is>
          <t>PERMIT_COMPLETE</t>
        </is>
      </c>
      <c r="H22" s="68" t="inlineStr">
        <is>
          <t>PERMIT_COMPLETE</t>
        </is>
      </c>
      <c r="I22" s="68" t="inlineStr">
        <is>
          <t>PERMIT_COMPLETE</t>
        </is>
      </c>
    </row>
    <row r="23">
      <c r="A23" s="68" t="inlineStr">
        <is>
          <t>permitting_dispute</t>
        </is>
      </c>
      <c r="B23" s="68" t="inlineStr">
        <is>
          <t>DISPUTE_NONE</t>
        </is>
      </c>
      <c r="C23" s="68" t="inlineStr">
        <is>
          <t>DISPUTE_NONE</t>
        </is>
      </c>
      <c r="D23" s="68" t="inlineStr">
        <is>
          <t>DISPUTE_LAND</t>
        </is>
      </c>
      <c r="E23" s="68" t="inlineStr">
        <is>
          <t>DISPUTE_NONE</t>
        </is>
      </c>
      <c r="F23" s="68" t="inlineStr">
        <is>
          <t>DISPUTE_NONE</t>
        </is>
      </c>
      <c r="G23" s="68" t="inlineStr">
        <is>
          <t>DISPUTE_NONE</t>
        </is>
      </c>
      <c r="H23" s="68" t="inlineStr">
        <is>
          <t>DISPUTE_NONE</t>
        </is>
      </c>
      <c r="I23" s="68" t="inlineStr">
        <is>
          <t>DISPUTE_NONE</t>
        </is>
      </c>
    </row>
    <row r="24">
      <c r="A24" s="68" t="inlineStr">
        <is>
          <t>regulatory_stability</t>
        </is>
      </c>
      <c r="B24" s="68" t="inlineStr">
        <is>
          <t>REG_STAB_5</t>
        </is>
      </c>
      <c r="C24" s="68" t="inlineStr">
        <is>
          <t>REG_STAB_4</t>
        </is>
      </c>
      <c r="D24" s="68" t="inlineStr">
        <is>
          <t>REG_STAB_3</t>
        </is>
      </c>
      <c r="E24" s="68" t="inlineStr">
        <is>
          <t>REG_STAB_5</t>
        </is>
      </c>
      <c r="F24" s="68" t="inlineStr">
        <is>
          <t>REG_STAB_4</t>
        </is>
      </c>
      <c r="G24" s="68" t="inlineStr">
        <is>
          <t>REG_STAB_4</t>
        </is>
      </c>
      <c r="H24" s="68" t="inlineStr">
        <is>
          <t>REG_STAB_5</t>
        </is>
      </c>
      <c r="I24" s="68" t="inlineStr">
        <is>
          <t>REG_STAB_5</t>
        </is>
      </c>
    </row>
    <row r="25">
      <c r="A25" s="68" t="inlineStr">
        <is>
          <t>offtake_states</t>
        </is>
      </c>
      <c r="B25" s="68" t="inlineStr">
        <is>
          <t>Gujarat</t>
        </is>
      </c>
      <c r="C25" s="68" t="inlineStr">
        <is>
          <t>Tamil Nadu</t>
        </is>
      </c>
      <c r="D25" s="68" t="inlineStr">
        <is>
          <t>Andhra Pradesh</t>
        </is>
      </c>
      <c r="E25" s="68" t="inlineStr">
        <is>
          <t>Gujarat</t>
        </is>
      </c>
      <c r="F25" s="68" t="inlineStr">
        <is>
          <t>Karnataka</t>
        </is>
      </c>
      <c r="G25" s="68" t="inlineStr">
        <is>
          <t>Rajasthan</t>
        </is>
      </c>
      <c r="H25" s="68" t="inlineStr">
        <is>
          <t>Gujarat</t>
        </is>
      </c>
      <c r="I25" s="68" t="inlineStr">
        <is>
          <t>Gujarat</t>
        </is>
      </c>
    </row>
    <row r="26">
      <c r="A26" s="68" t="inlineStr">
        <is>
          <t>technology_maturity</t>
        </is>
      </c>
      <c r="B26" s="68" t="inlineStr">
        <is>
          <t>TECH_MAT_STANDARD</t>
        </is>
      </c>
      <c r="C26" s="68" t="inlineStr">
        <is>
          <t>TECH_MAT_STANDARD</t>
        </is>
      </c>
      <c r="D26" s="68" t="inlineStr">
        <is>
          <t>TECH_MAT_NEWER</t>
        </is>
      </c>
      <c r="E26" s="68" t="inlineStr">
        <is>
          <t>TECH_MAT_STANDARD</t>
        </is>
      </c>
      <c r="F26" s="68" t="inlineStr">
        <is>
          <t>TECH_MAT_STANDARD</t>
        </is>
      </c>
      <c r="G26" s="68" t="inlineStr">
        <is>
          <t>TECH_MAT_STANDARD</t>
        </is>
      </c>
      <c r="H26" s="68" t="inlineStr">
        <is>
          <t>TECH_MAT_STANDARD</t>
        </is>
      </c>
      <c r="I26" s="68" t="inlineStr">
        <is>
          <t>TECH_MAT_STANDARD</t>
        </is>
      </c>
    </row>
    <row r="27">
      <c r="A27" s="68" t="inlineStr">
        <is>
          <t>bop_grid_complexity</t>
        </is>
      </c>
      <c r="B27" s="68" t="inlineStr">
        <is>
          <t>BOP_CONVENTIONAL</t>
        </is>
      </c>
      <c r="C27" s="68" t="inlineStr">
        <is>
          <t>BOP_MODERATE</t>
        </is>
      </c>
      <c r="D27" s="68" t="inlineStr">
        <is>
          <t>BOP_MODERATE</t>
        </is>
      </c>
      <c r="E27" s="68" t="inlineStr">
        <is>
          <t>BOP_CONVENTIONAL</t>
        </is>
      </c>
      <c r="F27" s="68" t="inlineStr">
        <is>
          <t>BOP_CONVENTIONAL</t>
        </is>
      </c>
      <c r="G27" s="68" t="inlineStr">
        <is>
          <t>BOP_MODERATE</t>
        </is>
      </c>
      <c r="H27" s="68" t="inlineStr">
        <is>
          <t>BOP_CONVENTIONAL</t>
        </is>
      </c>
      <c r="I27" s="68" t="inlineStr">
        <is>
          <t>BOP_CONVENTIONAL</t>
        </is>
      </c>
    </row>
    <row r="28">
      <c r="A28" s="68" t="inlineStr">
        <is>
          <t>almm_status</t>
        </is>
      </c>
      <c r="B28" s="68" t="inlineStr">
        <is>
          <t>ALMM_COMPLIANT</t>
        </is>
      </c>
      <c r="C28" s="68" t="inlineStr">
        <is>
          <t>ALMM_NOT_APPLICABLE</t>
        </is>
      </c>
      <c r="D28" s="68" t="inlineStr">
        <is>
          <t>ALMM_EXEMPT_OPEN</t>
        </is>
      </c>
      <c r="E28" s="68" t="inlineStr">
        <is>
          <t>ALMM_COMPLIANT</t>
        </is>
      </c>
      <c r="F28" s="68" t="inlineStr">
        <is>
          <t>ALMM_NOT_APPLICABLE</t>
        </is>
      </c>
      <c r="G28" s="68" t="inlineStr">
        <is>
          <t>ALMM_EXEMPT_OPEN</t>
        </is>
      </c>
      <c r="H28" s="68" t="inlineStr">
        <is>
          <t>ALMM_COMPLIANT</t>
        </is>
      </c>
      <c r="I28" s="68" t="inlineStr">
        <is>
          <t>ALMM_COMPLIANT</t>
        </is>
      </c>
    </row>
    <row r="29">
      <c r="A29" s="68" t="inlineStr">
        <is>
          <t>almm_basis_reference</t>
        </is>
      </c>
      <c r="B29" s="68" t="inlineStr">
        <is>
          <t>ALMM List-II compliant modules; invoice register</t>
        </is>
      </c>
      <c r="C29" s="68" t="inlineStr">
        <is>
          <t>n/a — wind</t>
        </is>
      </c>
      <c r="D29" s="68" t="inlineStr">
        <is>
          <t>MNRE OM 25-05-2026 Cat II; NISE ref 4412</t>
        </is>
      </c>
      <c r="E29" s="68" t="inlineStr">
        <is>
          <t>ALMM List-II compliant modules</t>
        </is>
      </c>
      <c r="F29" s="68" t="inlineStr">
        <is>
          <t>n/a — wind</t>
        </is>
      </c>
      <c r="G29" s="68" t="inlineStr">
        <is>
          <t>MNRE OM 25-05-2026 Cat I; NISE ref 5108</t>
        </is>
      </c>
      <c r="H29" s="68" t="inlineStr">
        <is>
          <t>ALMM List-II compliant</t>
        </is>
      </c>
      <c r="I29" s="68" t="inlineStr">
        <is>
          <t>ALMM List-II compliant</t>
        </is>
      </c>
    </row>
    <row r="30">
      <c r="A30" s="68" t="inlineStr">
        <is>
          <t>wtg_oem_indian_years</t>
        </is>
      </c>
      <c r="B30" s="68" t="n">
        <v>0</v>
      </c>
      <c r="C30" s="68" t="n">
        <v>8</v>
      </c>
      <c r="D30" s="68" t="n">
        <v>4</v>
      </c>
      <c r="E30" s="68" t="n">
        <v>0</v>
      </c>
      <c r="F30" s="68" t="n">
        <v>9</v>
      </c>
      <c r="G30" s="68" t="n">
        <v>0</v>
      </c>
      <c r="H30" s="68" t="n">
        <v>0</v>
      </c>
      <c r="I30" s="68" t="n">
        <v>0</v>
      </c>
    </row>
    <row r="31">
      <c r="A31" s="68" t="inlineStr">
        <is>
          <t>reinvestment_ratio</t>
        </is>
      </c>
      <c r="B31" s="68" t="n">
        <v>0.04</v>
      </c>
      <c r="C31" s="68" t="n">
        <v>0.09</v>
      </c>
      <c r="D31" s="68" t="n">
        <v>0.15</v>
      </c>
      <c r="E31" s="68" t="n">
        <v>0.04</v>
      </c>
      <c r="F31" s="68" t="n">
        <v>0.09</v>
      </c>
      <c r="G31" s="68" t="inlineStr">
        <is>
          <t>(null — non-critical: Section 3.4 scores 0, 3 pts forgone)</t>
        </is>
      </c>
      <c r="H31" s="68" t="n">
        <v>0.04</v>
      </c>
      <c r="I31" s="68" t="n">
        <v>0.04</v>
      </c>
    </row>
    <row r="32">
      <c r="A32" s="68" t="inlineStr">
        <is>
          <t>reinvestment_funding_source</t>
        </is>
      </c>
      <c r="B32" s="68" t="inlineStr">
        <is>
          <t>FUND_OCF</t>
        </is>
      </c>
      <c r="C32" s="68" t="inlineStr">
        <is>
          <t>FUND_MMRA</t>
        </is>
      </c>
      <c r="D32" s="68" t="inlineStr">
        <is>
          <t>FUND_INCREMENTAL_DEBT</t>
        </is>
      </c>
      <c r="E32" s="68" t="inlineStr">
        <is>
          <t>FUND_OCF</t>
        </is>
      </c>
      <c r="F32" s="68" t="inlineStr">
        <is>
          <t>FUND_MMRA</t>
        </is>
      </c>
      <c r="G32" s="68" t="inlineStr">
        <is>
          <t>FUND_OCF</t>
        </is>
      </c>
      <c r="H32" s="68" t="inlineStr">
        <is>
          <t>FUND_OCF</t>
        </is>
      </c>
      <c r="I32" s="68" t="inlineStr">
        <is>
          <t>FUND_OCF</t>
        </is>
      </c>
    </row>
    <row r="33">
      <c r="A33" s="68" t="inlineStr">
        <is>
          <t>operating_years_completed</t>
        </is>
      </c>
      <c r="B33" s="68" t="n">
        <v>4</v>
      </c>
      <c r="C33" s="68" t="n">
        <v>1.17</v>
      </c>
      <c r="D33" s="68" t="n">
        <v>0</v>
      </c>
      <c r="E33" s="68" t="n">
        <v>4</v>
      </c>
      <c r="F33" s="68" t="n">
        <v>0</v>
      </c>
      <c r="G33" s="68" t="n">
        <v>0.67</v>
      </c>
      <c r="H33" s="68" t="n">
        <v>4</v>
      </c>
      <c r="I33" s="68" t="n">
        <v>4</v>
      </c>
    </row>
    <row r="34">
      <c r="A34" s="68" t="inlineStr">
        <is>
          <t>actual_gen_vs_p90_y1</t>
        </is>
      </c>
      <c r="B34" s="68" t="n">
        <v>1.04</v>
      </c>
      <c r="E34" s="68" t="n">
        <v>1.04</v>
      </c>
      <c r="H34" s="68" t="n">
        <v>1.04</v>
      </c>
      <c r="I34" s="68" t="n">
        <v>1.04</v>
      </c>
    </row>
    <row r="35">
      <c r="A35" s="68" t="inlineStr">
        <is>
          <t>actual_gen_vs_p90_y2</t>
        </is>
      </c>
      <c r="B35" s="68" t="n">
        <v>1.02</v>
      </c>
      <c r="E35" s="68" t="n">
        <v>1.02</v>
      </c>
      <c r="H35" s="68" t="n">
        <v>1.02</v>
      </c>
      <c r="I35" s="68" t="n">
        <v>1.02</v>
      </c>
    </row>
    <row r="36">
      <c r="A36" s="68" t="inlineStr">
        <is>
          <t>actual_gen_vs_p90_y3</t>
        </is>
      </c>
      <c r="B36" s="68" t="n">
        <v>1.01</v>
      </c>
      <c r="E36" s="68" t="n">
        <v>1.01</v>
      </c>
      <c r="H36" s="68" t="n">
        <v>1.01</v>
      </c>
      <c r="I36" s="68" t="n">
        <v>1.01</v>
      </c>
    </row>
    <row r="37">
      <c r="A37" s="68" t="inlineStr">
        <is>
          <t>actual_gen_vs_p90_period</t>
        </is>
      </c>
      <c r="B37" s="68" t="n">
        <v>1.02</v>
      </c>
      <c r="C37" s="68" t="n">
        <v>0.98</v>
      </c>
      <c r="E37" s="68" t="n">
        <v>1.02</v>
      </c>
      <c r="H37" s="68" t="n">
        <v>1.02</v>
      </c>
      <c r="I37" s="68" t="n">
        <v>1.02</v>
      </c>
    </row>
    <row r="38">
      <c r="A38" s="68" t="inlineStr">
        <is>
          <t>independent_resource_assessment</t>
        </is>
      </c>
      <c r="B38" s="68" t="inlineStr">
        <is>
          <t>YES</t>
        </is>
      </c>
      <c r="C38" s="68" t="inlineStr">
        <is>
          <t>YES</t>
        </is>
      </c>
      <c r="D38" s="68" t="inlineStr">
        <is>
          <t>YES</t>
        </is>
      </c>
      <c r="E38" s="68" t="inlineStr">
        <is>
          <t>YES</t>
        </is>
      </c>
      <c r="F38" s="68" t="inlineStr">
        <is>
          <t>YES</t>
        </is>
      </c>
      <c r="G38" s="68" t="inlineStr">
        <is>
          <t>YES</t>
        </is>
      </c>
      <c r="H38" s="68" t="inlineStr">
        <is>
          <t>YES</t>
        </is>
      </c>
      <c r="I38" s="68" t="inlineStr">
        <is>
          <t>YES</t>
        </is>
      </c>
    </row>
    <row r="39">
      <c r="A39" s="68" t="inlineStr">
        <is>
          <t>p90_verified_by_lta</t>
        </is>
      </c>
      <c r="B39" s="68" t="inlineStr">
        <is>
          <t>YES</t>
        </is>
      </c>
      <c r="C39" s="68" t="inlineStr">
        <is>
          <t>YES</t>
        </is>
      </c>
      <c r="D39" s="68" t="inlineStr">
        <is>
          <t>NO</t>
        </is>
      </c>
      <c r="E39" s="68" t="inlineStr">
        <is>
          <t>YES</t>
        </is>
      </c>
      <c r="F39" s="68" t="inlineStr">
        <is>
          <t>YES</t>
        </is>
      </c>
      <c r="G39" s="68" t="inlineStr">
        <is>
          <t>YES</t>
        </is>
      </c>
      <c r="H39" s="68" t="inlineStr">
        <is>
          <t>YES</t>
        </is>
      </c>
      <c r="I39" s="68" t="inlineStr">
        <is>
          <t>YES</t>
        </is>
      </c>
    </row>
    <row r="40">
      <c r="A40" s="68" t="inlineStr">
        <is>
          <t>generation_performance_guarantee</t>
        </is>
      </c>
      <c r="B40" s="68" t="inlineStr">
        <is>
          <t>YES</t>
        </is>
      </c>
      <c r="C40" s="68" t="inlineStr">
        <is>
          <t>YES</t>
        </is>
      </c>
      <c r="D40" s="68" t="inlineStr">
        <is>
          <t>NO</t>
        </is>
      </c>
      <c r="E40" s="68" t="inlineStr">
        <is>
          <t>YES</t>
        </is>
      </c>
      <c r="F40" s="68" t="inlineStr">
        <is>
          <t>YES</t>
        </is>
      </c>
      <c r="G40" s="68" t="inlineStr">
        <is>
          <t>NO</t>
        </is>
      </c>
      <c r="H40" s="68" t="inlineStr">
        <is>
          <t>YES</t>
        </is>
      </c>
      <c r="I40" s="68" t="inlineStr">
        <is>
          <t>YES</t>
        </is>
      </c>
    </row>
    <row r="41">
      <c r="A41" s="68" t="inlineStr">
        <is>
          <t>operator_years</t>
        </is>
      </c>
      <c r="B41" s="68" t="n">
        <v>7</v>
      </c>
      <c r="C41" s="68" t="n">
        <v>5.5</v>
      </c>
      <c r="D41" s="68" t="n">
        <v>2</v>
      </c>
      <c r="E41" s="68" t="n">
        <v>7</v>
      </c>
      <c r="F41" s="68" t="n">
        <v>4</v>
      </c>
      <c r="G41" s="68" t="n">
        <v>4</v>
      </c>
      <c r="H41" s="68" t="n">
        <v>7</v>
      </c>
      <c r="I41" s="68" t="n">
        <v>7</v>
      </c>
    </row>
    <row r="42">
      <c r="A42" s="68" t="inlineStr">
        <is>
          <t>operator_mw_under_om</t>
        </is>
      </c>
      <c r="B42" s="68" t="n">
        <v>900</v>
      </c>
      <c r="C42" s="68" t="n">
        <v>650</v>
      </c>
      <c r="D42" s="68" t="n">
        <v>120</v>
      </c>
      <c r="E42" s="68" t="n">
        <v>900</v>
      </c>
      <c r="F42" s="68" t="n">
        <v>350</v>
      </c>
      <c r="G42" s="68" t="inlineStr">
        <is>
          <t>(null — non-critical: Section 3.6 scores 0, 2 pts forgone)</t>
        </is>
      </c>
      <c r="H42" s="68" t="n">
        <v>900</v>
      </c>
      <c r="I42" s="68" t="n">
        <v>900</v>
      </c>
    </row>
    <row r="43">
      <c r="A43" s="68" t="inlineStr">
        <is>
          <t>sponsor_projects_at_cod</t>
        </is>
      </c>
      <c r="B43" s="68" t="n">
        <v>6</v>
      </c>
      <c r="C43" s="68" t="n">
        <v>4</v>
      </c>
      <c r="D43" s="68" t="n">
        <v>0</v>
      </c>
      <c r="E43" s="68" t="n">
        <v>6</v>
      </c>
      <c r="F43" s="68" t="n">
        <v>2</v>
      </c>
      <c r="G43" s="68" t="n">
        <v>2</v>
      </c>
      <c r="H43" s="68" t="n">
        <v>6</v>
      </c>
      <c r="I43" s="68" t="n">
        <v>6</v>
      </c>
    </row>
    <row r="44">
      <c r="A44" s="68" t="inlineStr">
        <is>
          <t>sponsor_support_comparable_count</t>
        </is>
      </c>
      <c r="B44" s="68" t="n">
        <v>3</v>
      </c>
      <c r="C44" s="68" t="n">
        <v>2</v>
      </c>
      <c r="D44" s="68" t="n">
        <v>0</v>
      </c>
      <c r="E44" s="68" t="n">
        <v>3</v>
      </c>
      <c r="F44" s="68" t="n">
        <v>1</v>
      </c>
      <c r="G44" s="68" t="n">
        <v>1</v>
      </c>
      <c r="H44" s="68" t="n">
        <v>3</v>
      </c>
      <c r="I44" s="68" t="n">
        <v>3</v>
      </c>
    </row>
    <row r="45">
      <c r="A45" s="68" t="inlineStr">
        <is>
          <t>sponsor_support_this_project</t>
        </is>
      </c>
      <c r="B45" s="68" t="inlineStr">
        <is>
          <t>YES</t>
        </is>
      </c>
      <c r="C45" s="68" t="inlineStr">
        <is>
          <t>YES</t>
        </is>
      </c>
      <c r="D45" s="68" t="inlineStr">
        <is>
          <t>YES</t>
        </is>
      </c>
      <c r="E45" s="68" t="inlineStr">
        <is>
          <t>YES</t>
        </is>
      </c>
      <c r="F45" s="68" t="inlineStr">
        <is>
          <t>YES</t>
        </is>
      </c>
      <c r="G45" s="68" t="inlineStr">
        <is>
          <t>YES</t>
        </is>
      </c>
      <c r="H45" s="68" t="inlineStr">
        <is>
          <t>YES</t>
        </is>
      </c>
      <c r="I45" s="68" t="inlineStr">
        <is>
          <t>YES</t>
        </is>
      </c>
    </row>
    <row r="46">
      <c r="A46" s="153" t="inlineStr">
        <is>
          <t>Block B — Cash-flow Adequacy</t>
        </is>
      </c>
      <c r="B46" s="155" t="n"/>
      <c r="C46" s="155" t="n"/>
      <c r="D46" s="155" t="n"/>
      <c r="E46" s="155" t="n"/>
      <c r="F46" s="155" t="n"/>
      <c r="G46" s="155" t="n"/>
      <c r="H46" s="155" t="n"/>
      <c r="I46" s="155" t="n"/>
    </row>
    <row r="47">
      <c r="A47" s="68" t="inlineStr">
        <is>
          <t>p90_plf</t>
        </is>
      </c>
      <c r="B47" s="68" t="n">
        <v>0.26</v>
      </c>
      <c r="C47" s="68" t="n">
        <v>0.31</v>
      </c>
      <c r="D47" s="68" t="n">
        <v>0.29</v>
      </c>
      <c r="E47" s="68" t="n">
        <v>0.26</v>
      </c>
      <c r="F47" s="68" t="n">
        <v>0.32</v>
      </c>
      <c r="G47" s="68" t="n">
        <v>0.245</v>
      </c>
      <c r="H47" s="68" t="n">
        <v>0.26</v>
      </c>
      <c r="I47" s="68" t="n">
        <v>0.26</v>
      </c>
    </row>
    <row r="48">
      <c r="A48" s="68" t="inlineStr">
        <is>
          <t>p90_attestation_basis</t>
        </is>
      </c>
      <c r="B48" s="68" t="inlineStr">
        <is>
          <t>ATTESTED_P90</t>
        </is>
      </c>
      <c r="C48" s="68" t="inlineStr">
        <is>
          <t>p90_attestation_basis</t>
        </is>
      </c>
      <c r="D48" s="68" t="inlineStr">
        <is>
          <t>ATTESTED_P90</t>
        </is>
      </c>
      <c r="E48" s="68" t="inlineStr">
        <is>
          <t>p90_attestation_basis</t>
        </is>
      </c>
      <c r="F48" s="68" t="inlineStr">
        <is>
          <t>ATTESTED_P90</t>
        </is>
      </c>
      <c r="G48" s="68" t="inlineStr">
        <is>
          <t>p90_attestation_basis</t>
        </is>
      </c>
      <c r="H48" s="68" t="inlineStr">
        <is>
          <t>ATTESTED_P90</t>
        </is>
      </c>
      <c r="I48" s="68" t="inlineStr">
        <is>
          <t>p90_attestation_basis</t>
        </is>
      </c>
      <c r="J48" s="68" t="inlineStr">
        <is>
          <t>ATTESTED_P90</t>
        </is>
      </c>
      <c r="K48" s="68" t="inlineStr">
        <is>
          <t>p90_attestation_basis</t>
        </is>
      </c>
      <c r="L48" s="68" t="inlineStr">
        <is>
          <t>ATTESTED_P90</t>
        </is>
      </c>
      <c r="M48" s="68" t="inlineStr">
        <is>
          <t>p90_attestation_basis</t>
        </is>
      </c>
      <c r="N48" s="68" t="inlineStr">
        <is>
          <t>ATTESTED_P90</t>
        </is>
      </c>
      <c r="O48" s="68" t="inlineStr">
        <is>
          <t>p90_attestation_basis</t>
        </is>
      </c>
      <c r="P48" s="68" t="inlineStr">
        <is>
          <t>ATTESTED_P90</t>
        </is>
      </c>
    </row>
    <row r="49">
      <c r="A49" s="68" t="inlineStr">
        <is>
          <t>p90_resource_study</t>
        </is>
      </c>
      <c r="B49" s="68" t="inlineStr">
        <is>
          <t>Solargis P90, 12-01-2026</t>
        </is>
      </c>
      <c r="C49" s="68" t="inlineStr">
        <is>
          <t>Vortex P90, 05-02-2026</t>
        </is>
      </c>
      <c r="D49" s="68" t="inlineStr">
        <is>
          <t>AWS Truepower P90, 18-11-2025</t>
        </is>
      </c>
      <c r="E49" s="68" t="inlineStr">
        <is>
          <t>Solargis P90, 12-01-2026</t>
        </is>
      </c>
      <c r="F49" s="68" t="inlineStr">
        <is>
          <t>Vortex P90, 22-03-2026</t>
        </is>
      </c>
      <c r="G49" s="68" t="inlineStr">
        <is>
          <t>Solargis P90, 30-04-2026</t>
        </is>
      </c>
      <c r="H49" s="68" t="inlineStr">
        <is>
          <t>Solargis P90, 12-01-2026</t>
        </is>
      </c>
      <c r="I49" s="68" t="inlineStr">
        <is>
          <t>Solargis P90, 12-01-2026</t>
        </is>
      </c>
    </row>
    <row r="50">
      <c r="A50" s="68" t="inlineStr">
        <is>
          <t>p90_preparer</t>
        </is>
      </c>
      <c r="B50" s="68" t="inlineStr">
        <is>
          <t>S. Tirumela, 30-07-2026</t>
        </is>
      </c>
      <c r="C50" s="68" t="inlineStr">
        <is>
          <t>p90_preparer</t>
        </is>
      </c>
      <c r="D50" s="68" t="inlineStr">
        <is>
          <t>S. Tirumela, 30-07-2026</t>
        </is>
      </c>
      <c r="E50" s="68" t="inlineStr">
        <is>
          <t>p90_preparer</t>
        </is>
      </c>
      <c r="F50" s="68" t="inlineStr">
        <is>
          <t>S. Tirumela, 30-07-2026</t>
        </is>
      </c>
      <c r="G50" s="68" t="inlineStr">
        <is>
          <t>p90_preparer</t>
        </is>
      </c>
      <c r="H50" s="68" t="inlineStr">
        <is>
          <t>S. Tirumela, 30-07-2026</t>
        </is>
      </c>
      <c r="I50" s="68" t="inlineStr">
        <is>
          <t>p90_preparer</t>
        </is>
      </c>
      <c r="J50" s="68" t="inlineStr">
        <is>
          <t>S. Tirumela, 30-07-2026</t>
        </is>
      </c>
      <c r="K50" s="68" t="inlineStr">
        <is>
          <t>p90_preparer</t>
        </is>
      </c>
      <c r="L50" s="68" t="inlineStr">
        <is>
          <t>S. Tirumela, 30-07-2026</t>
        </is>
      </c>
      <c r="M50" s="68" t="inlineStr">
        <is>
          <t>p90_preparer</t>
        </is>
      </c>
      <c r="N50" s="68" t="inlineStr">
        <is>
          <t>S. Tirumela, 30-07-2026</t>
        </is>
      </c>
      <c r="O50" s="68" t="inlineStr">
        <is>
          <t>p90_preparer</t>
        </is>
      </c>
      <c r="P50" s="68" t="inlineStr">
        <is>
          <t>S. Tirumela, 30-07-2026</t>
        </is>
      </c>
    </row>
    <row r="51">
      <c r="A51" s="68" t="inlineStr">
        <is>
          <t>Minimum DSCR (derived from dscr_schedule)</t>
        </is>
      </c>
      <c r="B51" s="68" t="n">
        <v>1.45</v>
      </c>
      <c r="C51" s="68" t="n">
        <v>1.34</v>
      </c>
      <c r="D51" s="68" t="n">
        <v>0.96</v>
      </c>
      <c r="E51" s="68" t="n">
        <v>1.45</v>
      </c>
      <c r="F51" s="68" t="n">
        <v>1.32</v>
      </c>
      <c r="G51" s="68" t="n">
        <v>1.28</v>
      </c>
      <c r="H51" s="68" t="n">
        <v>1.45</v>
      </c>
      <c r="I51" s="68" t="n">
        <v>1.2</v>
      </c>
    </row>
    <row r="52">
      <c r="A52" s="68" t="inlineStr">
        <is>
          <t>Average DSCR (derived from dscr_schedule)</t>
        </is>
      </c>
      <c r="B52" s="68" t="n">
        <v>1.68</v>
      </c>
      <c r="C52" s="68" t="n">
        <v>1.52</v>
      </c>
      <c r="D52" s="68" t="n">
        <v>1.15</v>
      </c>
      <c r="E52" s="68" t="n">
        <v>1.68</v>
      </c>
      <c r="F52" s="68" t="n">
        <v>1.55</v>
      </c>
      <c r="G52" s="68" t="n">
        <v>1.48</v>
      </c>
      <c r="H52" s="68" t="n">
        <v>1.68</v>
      </c>
      <c r="I52" s="68" t="n">
        <v>1.1</v>
      </c>
    </row>
    <row r="53">
      <c r="A53" s="85" t="inlineStr">
        <is>
          <t xml:space="preserve">  ^ TP-8 is deliberately incoherent: Average 1.1000 &lt; Minimum 1.2000, which V1 must catch as a BLOCK before scoring</t>
        </is>
      </c>
    </row>
    <row r="54">
      <c r="A54" s="68" t="inlineStr">
        <is>
          <t>npv_cfads_project_life</t>
        </is>
      </c>
      <c r="B54" s="68" t="n">
        <v>52000</v>
      </c>
      <c r="C54" s="68" t="n">
        <v>38000</v>
      </c>
      <c r="D54" s="68" t="n">
        <v>22180</v>
      </c>
      <c r="E54" s="68" t="n">
        <v>52000</v>
      </c>
      <c r="F54" s="68" t="n">
        <v>41000</v>
      </c>
      <c r="G54" s="68" t="n">
        <v>22000</v>
      </c>
      <c r="H54" s="68" t="n">
        <v>52000</v>
      </c>
      <c r="I54" s="68" t="n">
        <v>52000</v>
      </c>
    </row>
    <row r="55">
      <c r="A55" s="68" t="inlineStr">
        <is>
          <t>npv_cfads_loan_life</t>
        </is>
      </c>
      <c r="B55" s="68" t="n">
        <v>44000</v>
      </c>
      <c r="C55" s="68" t="n">
        <v>29500</v>
      </c>
      <c r="D55" s="68" t="n">
        <v>20300</v>
      </c>
      <c r="E55" s="68" t="n">
        <v>44000</v>
      </c>
      <c r="F55" s="68" t="n">
        <v>34000</v>
      </c>
      <c r="G55" s="68" t="n">
        <v>18000</v>
      </c>
      <c r="H55" s="68" t="n">
        <v>44000</v>
      </c>
      <c r="I55" s="68" t="n">
        <v>44000</v>
      </c>
    </row>
    <row r="56">
      <c r="A56" s="68" t="inlineStr">
        <is>
          <t>discount_rate</t>
        </is>
      </c>
      <c r="B56" s="68" t="n">
        <v>0.0925</v>
      </c>
      <c r="C56" s="68" t="n">
        <v>0.098</v>
      </c>
      <c r="D56" s="68" t="n">
        <v>0.105</v>
      </c>
      <c r="E56" s="68" t="n">
        <v>0.0925</v>
      </c>
      <c r="F56" s="68" t="n">
        <v>0.0955</v>
      </c>
      <c r="G56" s="68" t="n">
        <v>0.101</v>
      </c>
      <c r="H56" s="68" t="n">
        <v>0.0925</v>
      </c>
      <c r="I56" s="68" t="n">
        <v>0.0925</v>
      </c>
    </row>
    <row r="57">
      <c r="A57" s="68" t="inlineStr">
        <is>
          <t>discount_rate_as_of</t>
        </is>
      </c>
      <c r="B57" s="68" t="inlineStr">
        <is>
          <t>2026-06-30</t>
        </is>
      </c>
      <c r="C57" s="68" t="inlineStr">
        <is>
          <t>discount_rate_as_of</t>
        </is>
      </c>
      <c r="D57" s="68" t="inlineStr">
        <is>
          <t>2026-06-30</t>
        </is>
      </c>
      <c r="E57" s="68" t="inlineStr">
        <is>
          <t>discount_rate_as_of</t>
        </is>
      </c>
      <c r="F57" s="68" t="inlineStr">
        <is>
          <t>2026-06-30</t>
        </is>
      </c>
      <c r="G57" s="68" t="inlineStr">
        <is>
          <t>discount_rate_as_of</t>
        </is>
      </c>
      <c r="H57" s="68" t="inlineStr">
        <is>
          <t>2026-06-30</t>
        </is>
      </c>
      <c r="I57" s="68" t="inlineStr">
        <is>
          <t>discount_rate_as_of</t>
        </is>
      </c>
      <c r="J57" s="68" t="inlineStr">
        <is>
          <t>2026-06-30</t>
        </is>
      </c>
      <c r="K57" s="68" t="inlineStr">
        <is>
          <t>discount_rate_as_of</t>
        </is>
      </c>
      <c r="L57" s="68" t="inlineStr">
        <is>
          <t>2026-06-30</t>
        </is>
      </c>
      <c r="M57" s="68" t="inlineStr">
        <is>
          <t>discount_rate_as_of</t>
        </is>
      </c>
      <c r="N57" s="68" t="inlineStr">
        <is>
          <t>2026-06-30</t>
        </is>
      </c>
      <c r="O57" s="68" t="inlineStr">
        <is>
          <t>discount_rate_as_of</t>
        </is>
      </c>
      <c r="P57" s="68" t="inlineStr">
        <is>
          <t>2026-06-30</t>
        </is>
      </c>
    </row>
    <row r="58">
      <c r="A58" s="68" t="inlineStr">
        <is>
          <t>remaining_project_life_years</t>
        </is>
      </c>
      <c r="B58" s="68" t="n">
        <v>21</v>
      </c>
      <c r="C58" s="68" t="n">
        <v>19</v>
      </c>
      <c r="D58" s="68" t="n">
        <v>24</v>
      </c>
      <c r="E58" s="68" t="n">
        <v>21</v>
      </c>
      <c r="F58" s="68" t="n">
        <v>24</v>
      </c>
      <c r="G58" s="68" t="n">
        <v>22</v>
      </c>
      <c r="H58" s="68" t="n">
        <v>21</v>
      </c>
      <c r="I58" s="68" t="n">
        <v>21</v>
      </c>
    </row>
    <row r="59">
      <c r="A59" s="68" t="inlineStr">
        <is>
          <t>remaining_loan_life_years</t>
        </is>
      </c>
      <c r="B59" s="68" t="n">
        <v>15</v>
      </c>
      <c r="C59" s="68" t="n">
        <v>14</v>
      </c>
      <c r="D59" s="68" t="n">
        <v>18</v>
      </c>
      <c r="E59" s="68" t="n">
        <v>15</v>
      </c>
      <c r="F59" s="68" t="n">
        <v>18</v>
      </c>
      <c r="G59" s="68" t="n">
        <v>17</v>
      </c>
      <c r="H59" s="68" t="n">
        <v>15</v>
      </c>
      <c r="I59" s="68" t="n">
        <v>15</v>
      </c>
    </row>
    <row r="60">
      <c r="A60" s="68" t="inlineStr">
        <is>
          <t>principal_outstanding_senior</t>
        </is>
      </c>
      <c r="B60" s="68" t="n">
        <v>23000</v>
      </c>
      <c r="C60" s="68" t="n">
        <v>22500</v>
      </c>
      <c r="D60" s="68" t="n">
        <v>18800</v>
      </c>
      <c r="E60" s="68" t="n">
        <v>23000</v>
      </c>
      <c r="F60" s="68" t="n">
        <v>22400</v>
      </c>
      <c r="G60" s="68" t="n">
        <v>14600</v>
      </c>
      <c r="H60" s="68" t="n">
        <v>23000</v>
      </c>
      <c r="I60" s="68" t="n">
        <v>23000</v>
      </c>
    </row>
    <row r="61">
      <c r="A61" s="68" t="inlineStr">
        <is>
          <t>cfads_nca_by_period[]</t>
        </is>
      </c>
      <c r="B61" s="68" t="inlineStr">
        <is>
          <t>(not supplied)</t>
        </is>
      </c>
      <c r="C61" s="68" t="inlineStr">
        <is>
          <t>(not supplied)</t>
        </is>
      </c>
      <c r="D61" s="68" t="inlineStr">
        <is>
          <t>(not supplied)</t>
        </is>
      </c>
      <c r="E61" s="68" t="inlineStr">
        <is>
          <t>(not supplied)</t>
        </is>
      </c>
      <c r="F61" s="68" t="inlineStr">
        <is>
          <t>(not supplied)</t>
        </is>
      </c>
      <c r="G61" s="68" t="inlineStr">
        <is>
          <t>(not supplied)</t>
        </is>
      </c>
      <c r="H61" s="68" t="inlineStr">
        <is>
          <t>(not supplied)</t>
        </is>
      </c>
      <c r="I61" s="68" t="inlineStr">
        <is>
          <t>(not supplied)</t>
        </is>
      </c>
    </row>
    <row r="62">
      <c r="A62" s="153" t="inlineStr">
        <is>
          <t>Block C — Financial Strength</t>
        </is>
      </c>
      <c r="B62" s="155" t="n"/>
      <c r="C62" s="155" t="n"/>
      <c r="D62" s="155" t="n"/>
      <c r="E62" s="155" t="n"/>
      <c r="F62" s="155" t="n"/>
      <c r="G62" s="155" t="n"/>
      <c r="H62" s="155" t="n"/>
      <c r="I62" s="155" t="n"/>
    </row>
    <row r="63">
      <c r="A63" s="68" t="inlineStr">
        <is>
          <t>debt_instruments[0] Rupee term loans — amount / treatment</t>
        </is>
      </c>
      <c r="B63" s="68" t="inlineStr">
        <is>
          <t>21000 / TREATMENT_DEBT</t>
        </is>
      </c>
      <c r="C63" s="68" t="inlineStr">
        <is>
          <t>20000 / TREATMENT_DEBT</t>
        </is>
      </c>
      <c r="D63" s="68" t="inlineStr">
        <is>
          <t>16000 / TREATMENT_DEBT</t>
        </is>
      </c>
      <c r="E63" s="68" t="inlineStr">
        <is>
          <t>21000 / TREATMENT_DEBT</t>
        </is>
      </c>
      <c r="F63" s="68" t="inlineStr">
        <is>
          <t>20400 / TREATMENT_DEBT</t>
        </is>
      </c>
      <c r="G63" s="68" t="inlineStr">
        <is>
          <t>13000 / TREATMENT_DEBT</t>
        </is>
      </c>
      <c r="H63" s="68" t="inlineStr">
        <is>
          <t>21000 / TREATMENT_DEBT</t>
        </is>
      </c>
      <c r="I63" s="68" t="inlineStr">
        <is>
          <t>21000 / TREATMENT_DEBT</t>
        </is>
      </c>
    </row>
    <row r="64">
      <c r="A64" s="68" t="inlineStr">
        <is>
          <t>debt_instruments[1] Subordinated sponsor loans — amount / treatment</t>
        </is>
      </c>
      <c r="B64" s="68" t="inlineStr">
        <is>
          <t>0 / TREATMENT_DEBT</t>
        </is>
      </c>
      <c r="C64" s="68" t="inlineStr">
        <is>
          <t>1500 / TREATMENT_DEBT</t>
        </is>
      </c>
      <c r="D64" s="68" t="inlineStr">
        <is>
          <t>1800 / TREATMENT_DEBT</t>
        </is>
      </c>
      <c r="E64" s="68" t="inlineStr">
        <is>
          <t>0 / TREATMENT_DEBT</t>
        </is>
      </c>
      <c r="F64" s="68" t="inlineStr">
        <is>
          <t>1000 / TREATMENT_DEBT</t>
        </is>
      </c>
      <c r="G64" s="68" t="inlineStr">
        <is>
          <t>2000 / TREATMENT_DEBT</t>
        </is>
      </c>
      <c r="H64" s="68" t="inlineStr">
        <is>
          <t>0 / TREATMENT_DEBT</t>
        </is>
      </c>
      <c r="I64" s="68" t="inlineStr">
        <is>
          <t>0 / TREATMENT_DEBT</t>
        </is>
      </c>
    </row>
    <row r="65">
      <c r="A65" s="68" t="inlineStr">
        <is>
          <t>debt_instruments[2] CCDs — amount / treatment</t>
        </is>
      </c>
      <c r="B65" s="68" t="inlineStr">
        <is>
          <t>0 / TREATMENT_DEBT</t>
        </is>
      </c>
      <c r="C65" s="68" t="inlineStr">
        <is>
          <t>1000 / TREATMENT_EQUITY</t>
        </is>
      </c>
      <c r="D65" s="68" t="inlineStr">
        <is>
          <t>1000 / TREATMENT_DEBT</t>
        </is>
      </c>
      <c r="E65" s="68" t="inlineStr">
        <is>
          <t>0 / TREATMENT_DEBT</t>
        </is>
      </c>
      <c r="F65" s="68" t="inlineStr">
        <is>
          <t>1000 / TREATMENT_EQUITY</t>
        </is>
      </c>
      <c r="G65" s="68" t="inlineStr">
        <is>
          <t>9000 / TREATMENT_DEBT</t>
        </is>
      </c>
      <c r="H65" s="68" t="inlineStr">
        <is>
          <t>0 / TREATMENT_DEBT</t>
        </is>
      </c>
      <c r="I65" s="68" t="inlineStr">
        <is>
          <t>0 / TREATMENT_DEBT</t>
        </is>
      </c>
    </row>
    <row r="66">
      <c r="A66" s="85" t="inlineStr">
        <is>
          <t xml:space="preserve">  ^ TP-6 carries a large CCD that FAILS the Section 9.3 equity test (cash coupon ahead of debt service), so it stays in Total Debt. TP-2 and TP-5 carry CCDs that pass all three conditions. v2.0 of this workbook pre-set CCDs to Equity, inverting the rule (QA finding B4).</t>
        </is>
      </c>
    </row>
    <row r="67">
      <c r="A67" s="68" t="inlineStr">
        <is>
          <t>total_debt  (derived)</t>
        </is>
      </c>
      <c r="B67" s="68" t="n">
        <v>21000</v>
      </c>
      <c r="C67" s="68" t="n">
        <v>21500</v>
      </c>
      <c r="D67" s="68" t="n">
        <v>18800</v>
      </c>
      <c r="E67" s="68" t="n">
        <v>21000</v>
      </c>
      <c r="F67" s="68" t="n">
        <v>21400</v>
      </c>
      <c r="G67" s="68" t="n">
        <v>24000</v>
      </c>
      <c r="H67" s="68" t="n">
        <v>21000</v>
      </c>
      <c r="I67" s="68" t="n">
        <v>21000</v>
      </c>
    </row>
    <row r="68">
      <c r="A68" s="68" t="inlineStr">
        <is>
          <t>tangible_net_worth  (derived)</t>
        </is>
      </c>
      <c r="B68" s="68" t="n">
        <v>12000</v>
      </c>
      <c r="C68" s="68" t="n">
        <v>9348</v>
      </c>
      <c r="D68" s="68" t="n">
        <v>4178</v>
      </c>
      <c r="E68" s="68" t="n">
        <v>12000</v>
      </c>
      <c r="F68" s="68" t="n">
        <v>9727</v>
      </c>
      <c r="G68" s="68" t="n">
        <v>8000</v>
      </c>
      <c r="H68" s="68" t="n">
        <v>12000</v>
      </c>
      <c r="I68" s="68" t="n">
        <v>12000</v>
      </c>
    </row>
    <row r="69">
      <c r="A69" s="68" t="inlineStr">
        <is>
          <t>project_cfo</t>
        </is>
      </c>
      <c r="B69" s="68" t="n">
        <v>5880</v>
      </c>
      <c r="C69" s="68" t="n">
        <v>3548</v>
      </c>
      <c r="D69" s="68" t="n">
        <v>752</v>
      </c>
      <c r="E69" s="68" t="n">
        <v>5880</v>
      </c>
      <c r="F69" s="68" t="n">
        <v>3852</v>
      </c>
      <c r="G69" s="68" t="n">
        <v>2160</v>
      </c>
      <c r="H69" s="68" t="n">
        <v>5880</v>
      </c>
      <c r="I69" s="68" t="n">
        <v>5880</v>
      </c>
    </row>
    <row r="70">
      <c r="A70" s="68" t="inlineStr">
        <is>
          <t>dsra_total</t>
        </is>
      </c>
      <c r="B70" s="68" t="n">
        <v>2100</v>
      </c>
      <c r="C70" s="68" t="n">
        <v>1350</v>
      </c>
      <c r="D70" s="68" t="n">
        <v>320</v>
      </c>
      <c r="E70" s="68" t="n">
        <v>2100</v>
      </c>
      <c r="F70" s="68" t="n">
        <v>1500</v>
      </c>
      <c r="G70" s="68" t="n">
        <v>1200</v>
      </c>
      <c r="H70" s="68" t="n">
        <v>2100</v>
      </c>
      <c r="I70" s="68" t="n">
        <v>2100</v>
      </c>
    </row>
    <row r="71">
      <c r="A71" s="68" t="inlineStr">
        <is>
          <t>dsra_encumbered</t>
        </is>
      </c>
      <c r="B71" s="68" t="n">
        <v>0</v>
      </c>
      <c r="C71" s="68" t="n">
        <v>0</v>
      </c>
      <c r="D71" s="68" t="n">
        <v>0</v>
      </c>
      <c r="E71" s="68" t="n">
        <v>0</v>
      </c>
      <c r="F71" s="68" t="n">
        <v>0</v>
      </c>
      <c r="G71" s="68" t="n">
        <v>300</v>
      </c>
      <c r="H71" s="68" t="n">
        <v>0</v>
      </c>
      <c r="I71" s="68" t="n">
        <v>0</v>
      </c>
    </row>
    <row r="72">
      <c r="A72" s="68" t="inlineStr">
        <is>
          <t>other_cash_total</t>
        </is>
      </c>
      <c r="B72" s="68" t="n">
        <v>400</v>
      </c>
      <c r="C72" s="68" t="n">
        <v>250</v>
      </c>
      <c r="D72" s="68" t="n">
        <v>60</v>
      </c>
      <c r="E72" s="68" t="n">
        <v>400</v>
      </c>
      <c r="F72" s="68" t="n">
        <v>300</v>
      </c>
      <c r="G72" s="68" t="n">
        <v>150</v>
      </c>
      <c r="H72" s="68" t="n">
        <v>400</v>
      </c>
      <c r="I72" s="68" t="n">
        <v>400</v>
      </c>
    </row>
    <row r="73">
      <c r="A73" s="68" t="inlineStr">
        <is>
          <t>other_cash_encumbered</t>
        </is>
      </c>
      <c r="B73" s="68" t="n">
        <v>0</v>
      </c>
      <c r="C73" s="68" t="n">
        <v>0</v>
      </c>
      <c r="D73" s="68" t="n">
        <v>0</v>
      </c>
      <c r="E73" s="68" t="n">
        <v>0</v>
      </c>
      <c r="F73" s="68" t="n">
        <v>0</v>
      </c>
      <c r="G73" s="68" t="n">
        <v>0</v>
      </c>
      <c r="H73" s="68" t="n">
        <v>0</v>
      </c>
      <c r="I73" s="68" t="n">
        <v>0</v>
      </c>
    </row>
    <row r="74">
      <c r="A74" s="68" t="inlineStr">
        <is>
          <t>avg_monthly_debt_service</t>
        </is>
      </c>
      <c r="B74" s="68" t="n">
        <v>150</v>
      </c>
      <c r="C74" s="68" t="n">
        <v>180</v>
      </c>
      <c r="D74" s="68" t="n">
        <v>160</v>
      </c>
      <c r="E74" s="68" t="n">
        <v>150</v>
      </c>
      <c r="F74" s="68" t="n">
        <v>158</v>
      </c>
      <c r="G74" s="68" t="n">
        <v>150</v>
      </c>
      <c r="H74" s="68" t="n">
        <v>150</v>
      </c>
      <c r="I74" s="68" t="n">
        <v>150</v>
      </c>
    </row>
    <row r="75">
      <c r="A75" s="153" t="inlineStr">
        <is>
          <t>Block D — Structural Protections</t>
        </is>
      </c>
      <c r="B75" s="155" t="n"/>
      <c r="C75" s="155" t="n"/>
      <c r="D75" s="155" t="n"/>
      <c r="E75" s="155" t="n"/>
      <c r="F75" s="155" t="n"/>
      <c r="G75" s="155" t="n"/>
      <c r="H75" s="155" t="n"/>
      <c r="I75" s="155" t="n"/>
    </row>
    <row r="76">
      <c r="A76" s="68" t="inlineStr">
        <is>
          <t>waterfall_trustee</t>
        </is>
      </c>
      <c r="B76" s="68" t="inlineStr">
        <is>
          <t>YES</t>
        </is>
      </c>
      <c r="C76" s="68" t="inlineStr">
        <is>
          <t>YES</t>
        </is>
      </c>
      <c r="D76" s="68" t="inlineStr">
        <is>
          <t>NO</t>
        </is>
      </c>
      <c r="E76" s="68" t="inlineStr">
        <is>
          <t>YES</t>
        </is>
      </c>
      <c r="F76" s="68" t="inlineStr">
        <is>
          <t>YES</t>
        </is>
      </c>
      <c r="G76" s="68" t="inlineStr">
        <is>
          <t>YES</t>
        </is>
      </c>
      <c r="H76" s="68" t="inlineStr">
        <is>
          <t>YES</t>
        </is>
      </c>
      <c r="I76" s="68" t="inlineStr">
        <is>
          <t>YES</t>
        </is>
      </c>
    </row>
    <row r="77">
      <c r="A77" s="68" t="inlineStr">
        <is>
          <t>security_charge_assets</t>
        </is>
      </c>
      <c r="B77" s="68" t="inlineStr">
        <is>
          <t>YES</t>
        </is>
      </c>
      <c r="C77" s="68" t="inlineStr">
        <is>
          <t>YES</t>
        </is>
      </c>
      <c r="D77" s="68" t="inlineStr">
        <is>
          <t>YES</t>
        </is>
      </c>
      <c r="E77" s="68" t="inlineStr">
        <is>
          <t>YES</t>
        </is>
      </c>
      <c r="F77" s="68" t="inlineStr">
        <is>
          <t>YES</t>
        </is>
      </c>
      <c r="G77" s="68" t="inlineStr">
        <is>
          <t>YES</t>
        </is>
      </c>
      <c r="H77" s="68" t="inlineStr">
        <is>
          <t>YES</t>
        </is>
      </c>
      <c r="I77" s="68" t="inlineStr">
        <is>
          <t>YES</t>
        </is>
      </c>
    </row>
    <row r="78">
      <c r="A78" s="68" t="inlineStr">
        <is>
          <t>security_assignment_contracts</t>
        </is>
      </c>
      <c r="B78" s="68" t="inlineStr">
        <is>
          <t>YES</t>
        </is>
      </c>
      <c r="C78" s="68" t="inlineStr">
        <is>
          <t>YES</t>
        </is>
      </c>
      <c r="D78" s="68" t="inlineStr">
        <is>
          <t>YES</t>
        </is>
      </c>
      <c r="E78" s="68" t="inlineStr">
        <is>
          <t>YES</t>
        </is>
      </c>
      <c r="F78" s="68" t="inlineStr">
        <is>
          <t>YES</t>
        </is>
      </c>
      <c r="G78" s="68" t="inlineStr">
        <is>
          <t>YES</t>
        </is>
      </c>
      <c r="H78" s="68" t="inlineStr">
        <is>
          <t>YES</t>
        </is>
      </c>
      <c r="I78" s="68" t="inlineStr">
        <is>
          <t>YES</t>
        </is>
      </c>
    </row>
    <row r="79">
      <c r="A79" s="68" t="inlineStr">
        <is>
          <t>security_charge_accounts</t>
        </is>
      </c>
      <c r="B79" s="68" t="inlineStr">
        <is>
          <t>YES</t>
        </is>
      </c>
      <c r="C79" s="68" t="inlineStr">
        <is>
          <t>YES</t>
        </is>
      </c>
      <c r="D79" s="68" t="inlineStr">
        <is>
          <t>NO</t>
        </is>
      </c>
      <c r="E79" s="68" t="inlineStr">
        <is>
          <t>YES</t>
        </is>
      </c>
      <c r="F79" s="68" t="inlineStr">
        <is>
          <t>YES</t>
        </is>
      </c>
      <c r="G79" s="68" t="inlineStr">
        <is>
          <t>YES</t>
        </is>
      </c>
      <c r="H79" s="68" t="inlineStr">
        <is>
          <t>YES</t>
        </is>
      </c>
      <c r="I79" s="68" t="inlineStr">
        <is>
          <t>YES</t>
        </is>
      </c>
    </row>
    <row r="80">
      <c r="A80" s="68" t="inlineStr">
        <is>
          <t>security_pledge_shares</t>
        </is>
      </c>
      <c r="B80" s="68" t="inlineStr">
        <is>
          <t>YES</t>
        </is>
      </c>
      <c r="C80" s="68" t="inlineStr">
        <is>
          <t>NO</t>
        </is>
      </c>
      <c r="D80" s="68" t="inlineStr">
        <is>
          <t>NO</t>
        </is>
      </c>
      <c r="E80" s="68" t="inlineStr">
        <is>
          <t>YES</t>
        </is>
      </c>
      <c r="F80" s="68" t="inlineStr">
        <is>
          <t>YES</t>
        </is>
      </c>
      <c r="G80" s="68" t="inlineStr">
        <is>
          <t>NO</t>
        </is>
      </c>
      <c r="H80" s="68" t="inlineStr">
        <is>
          <t>YES</t>
        </is>
      </c>
      <c r="I80" s="68" t="inlineStr">
        <is>
          <t>YES</t>
        </is>
      </c>
    </row>
    <row r="81">
      <c r="A81" s="68" t="inlineStr">
        <is>
          <t>distribution_lockup</t>
        </is>
      </c>
      <c r="B81" s="68" t="inlineStr">
        <is>
          <t>YES</t>
        </is>
      </c>
      <c r="C81" s="68" t="inlineStr">
        <is>
          <t>NO</t>
        </is>
      </c>
      <c r="D81" s="68" t="inlineStr">
        <is>
          <t>NO</t>
        </is>
      </c>
      <c r="E81" s="68" t="inlineStr">
        <is>
          <t>YES</t>
        </is>
      </c>
      <c r="F81" s="68" t="inlineStr">
        <is>
          <t>YES</t>
        </is>
      </c>
      <c r="G81" s="68" t="inlineStr">
        <is>
          <t>NO</t>
        </is>
      </c>
      <c r="H81" s="68" t="inlineStr">
        <is>
          <t>YES</t>
        </is>
      </c>
      <c r="I81" s="68" t="inlineStr">
        <is>
          <t>YES</t>
        </is>
      </c>
    </row>
    <row r="82">
      <c r="A82" s="68" t="inlineStr">
        <is>
          <t>lockup_dscr_threshold</t>
        </is>
      </c>
      <c r="B82" s="68" t="n">
        <v>1.15</v>
      </c>
      <c r="E82" s="68" t="n">
        <v>1.15</v>
      </c>
      <c r="F82" s="68" t="n">
        <v>1.2</v>
      </c>
      <c r="H82" s="68" t="n">
        <v>1.15</v>
      </c>
      <c r="I82" s="68" t="n">
        <v>1.15</v>
      </c>
    </row>
    <row r="83">
      <c r="A83" s="68" t="inlineStr">
        <is>
          <t>cov_additional_indebtedness</t>
        </is>
      </c>
      <c r="B83" s="68" t="inlineStr">
        <is>
          <t>YES</t>
        </is>
      </c>
      <c r="C83" s="68" t="inlineStr">
        <is>
          <t>YES</t>
        </is>
      </c>
      <c r="D83" s="68" t="inlineStr">
        <is>
          <t>YES</t>
        </is>
      </c>
      <c r="E83" s="68" t="inlineStr">
        <is>
          <t>YES</t>
        </is>
      </c>
      <c r="F83" s="68" t="inlineStr">
        <is>
          <t>YES</t>
        </is>
      </c>
      <c r="G83" s="68" t="inlineStr">
        <is>
          <t>YES</t>
        </is>
      </c>
      <c r="H83" s="68" t="inlineStr">
        <is>
          <t>YES</t>
        </is>
      </c>
      <c r="I83" s="68" t="inlineStr">
        <is>
          <t>YES</t>
        </is>
      </c>
    </row>
    <row r="84">
      <c r="A84" s="68" t="inlineStr">
        <is>
          <t>cov_asset_sales</t>
        </is>
      </c>
      <c r="B84" s="68" t="inlineStr">
        <is>
          <t>YES</t>
        </is>
      </c>
      <c r="C84" s="68" t="inlineStr">
        <is>
          <t>YES</t>
        </is>
      </c>
      <c r="D84" s="68" t="inlineStr">
        <is>
          <t>YES</t>
        </is>
      </c>
      <c r="E84" s="68" t="inlineStr">
        <is>
          <t>YES</t>
        </is>
      </c>
      <c r="F84" s="68" t="inlineStr">
        <is>
          <t>YES</t>
        </is>
      </c>
      <c r="G84" s="68" t="inlineStr">
        <is>
          <t>YES</t>
        </is>
      </c>
      <c r="H84" s="68" t="inlineStr">
        <is>
          <t>YES</t>
        </is>
      </c>
      <c r="I84" s="68" t="inlineStr">
        <is>
          <t>YES</t>
        </is>
      </c>
    </row>
    <row r="85">
      <c r="A85" s="68" t="inlineStr">
        <is>
          <t>cov_change_of_control</t>
        </is>
      </c>
      <c r="B85" s="68" t="inlineStr">
        <is>
          <t>YES</t>
        </is>
      </c>
      <c r="C85" s="68" t="inlineStr">
        <is>
          <t>YES</t>
        </is>
      </c>
      <c r="D85" s="68" t="inlineStr">
        <is>
          <t>NO</t>
        </is>
      </c>
      <c r="E85" s="68" t="inlineStr">
        <is>
          <t>YES</t>
        </is>
      </c>
      <c r="F85" s="68" t="inlineStr">
        <is>
          <t>YES</t>
        </is>
      </c>
      <c r="G85" s="68" t="inlineStr">
        <is>
          <t>YES</t>
        </is>
      </c>
      <c r="H85" s="68" t="inlineStr">
        <is>
          <t>YES</t>
        </is>
      </c>
      <c r="I85" s="68" t="inlineStr">
        <is>
          <t>YES</t>
        </is>
      </c>
    </row>
    <row r="86">
      <c r="A86" s="68" t="inlineStr">
        <is>
          <t>cov_lender_stepin</t>
        </is>
      </c>
      <c r="B86" s="68" t="inlineStr">
        <is>
          <t>YES</t>
        </is>
      </c>
      <c r="C86" s="68" t="inlineStr">
        <is>
          <t>NO</t>
        </is>
      </c>
      <c r="D86" s="68" t="inlineStr">
        <is>
          <t>NO</t>
        </is>
      </c>
      <c r="E86" s="68" t="inlineStr">
        <is>
          <t>YES</t>
        </is>
      </c>
      <c r="F86" s="68" t="inlineStr">
        <is>
          <t>YES</t>
        </is>
      </c>
      <c r="G86" s="68" t="inlineStr">
        <is>
          <t>NO</t>
        </is>
      </c>
      <c r="H86" s="68" t="inlineStr">
        <is>
          <t>YES</t>
        </is>
      </c>
      <c r="I86" s="68" t="inlineStr">
        <is>
          <t>YES</t>
        </is>
      </c>
    </row>
    <row r="87">
      <c r="A87" s="68" t="inlineStr">
        <is>
          <t>reporting_covenant</t>
        </is>
      </c>
      <c r="B87" s="68" t="inlineStr">
        <is>
          <t>YES</t>
        </is>
      </c>
      <c r="C87" s="68" t="inlineStr">
        <is>
          <t>YES</t>
        </is>
      </c>
      <c r="D87" s="68" t="inlineStr">
        <is>
          <t>YES</t>
        </is>
      </c>
      <c r="E87" s="68" t="inlineStr">
        <is>
          <t>YES</t>
        </is>
      </c>
      <c r="F87" s="68" t="inlineStr">
        <is>
          <t>YES</t>
        </is>
      </c>
      <c r="G87" s="68" t="inlineStr">
        <is>
          <t>YES</t>
        </is>
      </c>
      <c r="H87" s="68" t="inlineStr">
        <is>
          <t>YES</t>
        </is>
      </c>
      <c r="I87" s="68" t="inlineStr">
        <is>
          <t>YES</t>
        </is>
      </c>
    </row>
    <row r="88">
      <c r="A88" s="68" t="inlineStr">
        <is>
          <t>hedging_policy</t>
        </is>
      </c>
      <c r="B88" s="68" t="inlineStr">
        <is>
          <t>YES</t>
        </is>
      </c>
      <c r="C88" s="68" t="inlineStr">
        <is>
          <t>NOT_APPLICABLE_FIXED_RATE</t>
        </is>
      </c>
      <c r="D88" s="68" t="inlineStr">
        <is>
          <t>NO</t>
        </is>
      </c>
      <c r="E88" s="68" t="inlineStr">
        <is>
          <t>YES</t>
        </is>
      </c>
      <c r="F88" s="68" t="inlineStr">
        <is>
          <t>YES</t>
        </is>
      </c>
      <c r="G88" s="68" t="inlineStr">
        <is>
          <t>NOT_APPLICABLE_FIXED_RATE</t>
        </is>
      </c>
      <c r="H88" s="68" t="inlineStr">
        <is>
          <t>YES</t>
        </is>
      </c>
      <c r="I88" s="68" t="inlineStr">
        <is>
          <t>YES</t>
        </is>
      </c>
    </row>
    <row r="89">
      <c r="A89" s="68" t="inlineStr">
        <is>
          <t>insurance_business_interruption</t>
        </is>
      </c>
      <c r="B89" s="68" t="inlineStr">
        <is>
          <t>YES</t>
        </is>
      </c>
      <c r="C89" s="68" t="inlineStr">
        <is>
          <t>YES</t>
        </is>
      </c>
      <c r="D89" s="68" t="inlineStr">
        <is>
          <t>NO</t>
        </is>
      </c>
      <c r="E89" s="68" t="inlineStr">
        <is>
          <t>YES</t>
        </is>
      </c>
      <c r="F89" s="68" t="inlineStr">
        <is>
          <t>YES</t>
        </is>
      </c>
      <c r="G89" s="68" t="inlineStr">
        <is>
          <t>YES</t>
        </is>
      </c>
      <c r="H89" s="68" t="inlineStr">
        <is>
          <t>YES</t>
        </is>
      </c>
      <c r="I89" s="68" t="inlineStr">
        <is>
          <t>YES</t>
        </is>
      </c>
    </row>
    <row r="90">
      <c r="A90" s="85" t="inlineStr">
        <is>
          <t xml:space="preserve">  ^ TP-2 and TP-5 exercise NOT_APPLICABLE_FIXED_RATE, which CORE Section 6.3 scores AS PRESENT. TP-5 also exercises it at Section 7.2 Mitigant 3, the treatment v2.0 left unstated (QA finding M6).</t>
        </is>
      </c>
    </row>
    <row r="91">
      <c r="A91" s="153" t="inlineStr">
        <is>
          <t>Notching inputs — offtakers</t>
        </is>
      </c>
      <c r="B91" s="155" t="n"/>
      <c r="C91" s="155" t="n"/>
      <c r="D91" s="155" t="n"/>
      <c r="E91" s="155" t="n"/>
      <c r="F91" s="155" t="n"/>
      <c r="G91" s="155" t="n"/>
      <c r="H91" s="155" t="n"/>
      <c r="I91" s="155" t="n"/>
    </row>
    <row r="92">
      <c r="A92" s="68" t="inlineStr">
        <is>
          <t>offtakers[0].type</t>
        </is>
      </c>
      <c r="B92" s="68" t="inlineStr">
        <is>
          <t>OFFTAKER_CI</t>
        </is>
      </c>
      <c r="C92" s="68" t="inlineStr">
        <is>
          <t>OFFTAKER_DISCOM</t>
        </is>
      </c>
      <c r="D92" s="68" t="inlineStr">
        <is>
          <t>OFFTAKER_CI</t>
        </is>
      </c>
      <c r="E92" s="68" t="inlineStr">
        <is>
          <t>OFFTAKER_CI</t>
        </is>
      </c>
      <c r="F92" s="68" t="inlineStr">
        <is>
          <t>OFFTAKER_DISCOM</t>
        </is>
      </c>
      <c r="G92" s="68" t="inlineStr">
        <is>
          <t>OFFTAKER_DISCOM</t>
        </is>
      </c>
      <c r="H92" s="68" t="inlineStr">
        <is>
          <t>OFFTAKER_CI</t>
        </is>
      </c>
      <c r="I92" s="68" t="inlineStr">
        <is>
          <t>OFFTAKER_CI</t>
        </is>
      </c>
    </row>
    <row r="93">
      <c r="A93" s="68" t="inlineStr">
        <is>
          <t>offtakers[0].contracted_share</t>
        </is>
      </c>
      <c r="B93" s="68" t="n">
        <v>1</v>
      </c>
      <c r="C93" s="68" t="n">
        <v>1</v>
      </c>
      <c r="D93" s="68" t="n">
        <v>1</v>
      </c>
      <c r="E93" s="68" t="n">
        <v>1</v>
      </c>
      <c r="F93" s="68" t="n">
        <v>0.2</v>
      </c>
      <c r="G93" s="68" t="n">
        <v>1</v>
      </c>
      <c r="H93" s="68" t="n">
        <v>1</v>
      </c>
      <c r="I93" s="68" t="n">
        <v>1</v>
      </c>
    </row>
    <row r="94">
      <c r="A94" s="68" t="inlineStr">
        <is>
          <t>offtakers[0].rating_or_grade</t>
        </is>
      </c>
      <c r="B94" s="68" t="inlineStr">
        <is>
          <t>AA</t>
        </is>
      </c>
      <c r="C94" s="68" t="inlineStr">
        <is>
          <t>B</t>
        </is>
      </c>
      <c r="D94" s="68" t="inlineStr">
        <is>
          <t>BB-</t>
        </is>
      </c>
      <c r="E94" s="68" t="inlineStr">
        <is>
          <t>BB-</t>
        </is>
      </c>
      <c r="F94" s="68" t="inlineStr">
        <is>
          <t>B</t>
        </is>
      </c>
      <c r="G94" s="68" t="inlineStr">
        <is>
          <t>B</t>
        </is>
      </c>
      <c r="H94" s="68" t="inlineStr">
        <is>
          <t>AA</t>
        </is>
      </c>
      <c r="I94" s="68" t="inlineStr">
        <is>
          <t>AA</t>
        </is>
      </c>
    </row>
    <row r="95">
      <c r="A95" s="68" t="inlineStr">
        <is>
          <t>offtakers[1..3].contracted_share</t>
        </is>
      </c>
      <c r="F95" s="68" t="inlineStr">
        <is>
          <t>0.2000 / 0.2000 / 0.2000</t>
        </is>
      </c>
    </row>
    <row r="96">
      <c r="A96" s="68" t="inlineStr">
        <is>
          <t>offtakers[1..3].rating_or_grade</t>
        </is>
      </c>
      <c r="F96" s="68" t="inlineStr">
        <is>
          <t>B / A / B</t>
        </is>
      </c>
    </row>
    <row r="97">
      <c r="A97" s="68" t="inlineStr">
        <is>
          <t>other_offtakers_count</t>
        </is>
      </c>
      <c r="B97" s="68" t="n">
        <v>0</v>
      </c>
      <c r="C97" s="68" t="n">
        <v>0</v>
      </c>
      <c r="D97" s="68" t="n">
        <v>0</v>
      </c>
      <c r="E97" s="68" t="n">
        <v>0</v>
      </c>
      <c r="F97" s="68" t="n">
        <v>3</v>
      </c>
      <c r="G97" s="68" t="n">
        <v>0</v>
      </c>
      <c r="H97" s="68" t="n">
        <v>0</v>
      </c>
      <c r="I97" s="68" t="n">
        <v>0</v>
      </c>
    </row>
    <row r="98">
      <c r="A98" s="68" t="inlineStr">
        <is>
          <t>other_offtakers_share</t>
        </is>
      </c>
      <c r="B98" s="68" t="n">
        <v>0</v>
      </c>
      <c r="C98" s="68" t="n">
        <v>0</v>
      </c>
      <c r="D98" s="68" t="n">
        <v>0</v>
      </c>
      <c r="E98" s="68" t="n">
        <v>0</v>
      </c>
      <c r="F98" s="68" t="n">
        <v>0.2</v>
      </c>
      <c r="G98" s="68" t="n">
        <v>0</v>
      </c>
      <c r="H98" s="68" t="n">
        <v>0</v>
      </c>
      <c r="I98" s="68" t="n">
        <v>0</v>
      </c>
    </row>
    <row r="99">
      <c r="A99" s="68" t="inlineStr">
        <is>
          <t>other_offtakers_worst_tier</t>
        </is>
      </c>
      <c r="F99" s="68" t="inlineStr">
        <is>
          <t>CP_WEAK</t>
        </is>
      </c>
    </row>
    <row r="100">
      <c r="A100" s="85" t="inlineStr">
        <is>
          <t xml:space="preserve">  ^ TP-5 is the only reference project that reaches the BLENDED-TIER FALLBACK: five counterparties, none at or above 0.2500, so the dominance test does not fire. Blend = (3x0.20 + 3x0.20 + 4x0.20 + 3x0.20 + 2x0.20) / 1.0000 = 3.00 -&gt; tier value 3 -&gt; Adequate -&gt; -1 notch, no cap. The aggregated line counts as one counterparty (CORE Section 7.1 Step 3, stated explicitly from v3.0 — QA finding M7).</t>
        </is>
      </c>
    </row>
    <row r="101">
      <c r="A101" s="153" t="inlineStr">
        <is>
          <t>Notching inputs — refinancing and construction</t>
        </is>
      </c>
      <c r="B101" s="155" t="n"/>
      <c r="C101" s="155" t="n"/>
      <c r="D101" s="155" t="n"/>
      <c r="E101" s="155" t="n"/>
      <c r="F101" s="155" t="n"/>
      <c r="G101" s="155" t="n"/>
      <c r="H101" s="155" t="n"/>
      <c r="I101" s="155" t="n"/>
    </row>
    <row r="102">
      <c r="A102" s="68" t="inlineStr">
        <is>
          <t>bullet_share</t>
        </is>
      </c>
      <c r="B102" s="68" t="n">
        <v>0.05</v>
      </c>
      <c r="C102" s="68" t="n">
        <v>0.18</v>
      </c>
      <c r="D102" s="68" t="n">
        <v>0.4</v>
      </c>
      <c r="E102" s="68" t="n">
        <v>0.05</v>
      </c>
      <c r="F102" s="68" t="n">
        <v>0.18</v>
      </c>
      <c r="G102" s="68" t="n">
        <v>0.35</v>
      </c>
      <c r="H102" s="68" t="n">
        <v>0.05</v>
      </c>
      <c r="I102" s="68" t="n">
        <v>0.05</v>
      </c>
    </row>
    <row r="103">
      <c r="A103" s="68" t="inlineStr">
        <is>
          <t>mitigant_cash_sweep</t>
        </is>
      </c>
      <c r="B103" s="68" t="inlineStr">
        <is>
          <t>YES</t>
        </is>
      </c>
      <c r="C103" s="68" t="inlineStr">
        <is>
          <t>YES</t>
        </is>
      </c>
      <c r="D103" s="68" t="inlineStr">
        <is>
          <t>NO</t>
        </is>
      </c>
      <c r="E103" s="68" t="inlineStr">
        <is>
          <t>YES</t>
        </is>
      </c>
      <c r="F103" s="68" t="inlineStr">
        <is>
          <t>NO</t>
        </is>
      </c>
      <c r="G103" s="68" t="inlineStr">
        <is>
          <t>NO</t>
        </is>
      </c>
      <c r="H103" s="68" t="inlineStr">
        <is>
          <t>YES</t>
        </is>
      </c>
      <c r="I103" s="68" t="inlineStr">
        <is>
          <t>YES</t>
        </is>
      </c>
    </row>
    <row r="104">
      <c r="A104" s="68" t="inlineStr">
        <is>
          <t>mitigant_committed_refi</t>
        </is>
      </c>
      <c r="B104" s="68" t="inlineStr">
        <is>
          <t>NO</t>
        </is>
      </c>
      <c r="C104" s="68" t="inlineStr">
        <is>
          <t>NO</t>
        </is>
      </c>
      <c r="D104" s="68" t="inlineStr">
        <is>
          <t>NO</t>
        </is>
      </c>
      <c r="E104" s="68" t="inlineStr">
        <is>
          <t>NO</t>
        </is>
      </c>
      <c r="F104" s="68" t="inlineStr">
        <is>
          <t>NO</t>
        </is>
      </c>
      <c r="G104" s="68" t="inlineStr">
        <is>
          <t>NO</t>
        </is>
      </c>
      <c r="H104" s="68" t="inlineStr">
        <is>
          <t>NO</t>
        </is>
      </c>
      <c r="I104" s="68" t="inlineStr">
        <is>
          <t>NO</t>
        </is>
      </c>
    </row>
    <row r="105">
      <c r="A105" s="68" t="inlineStr">
        <is>
          <t>mitigant_ir_hedge</t>
        </is>
      </c>
      <c r="B105" s="68" t="inlineStr">
        <is>
          <t>YES</t>
        </is>
      </c>
      <c r="C105" s="68" t="inlineStr">
        <is>
          <t>NOT_APPLICABLE_FIXED_RATE</t>
        </is>
      </c>
      <c r="D105" s="68" t="inlineStr">
        <is>
          <t>NO</t>
        </is>
      </c>
      <c r="E105" s="68" t="inlineStr">
        <is>
          <t>YES</t>
        </is>
      </c>
      <c r="F105" s="68" t="inlineStr">
        <is>
          <t>NO</t>
        </is>
      </c>
      <c r="G105" s="68" t="inlineStr">
        <is>
          <t>NOT_APPLICABLE_FIXED_RATE</t>
        </is>
      </c>
      <c r="H105" s="68" t="inlineStr">
        <is>
          <t>YES</t>
        </is>
      </c>
      <c r="I105" s="68" t="inlineStr">
        <is>
          <t>YES</t>
        </is>
      </c>
    </row>
    <row r="106">
      <c r="A106" s="68" t="inlineStr">
        <is>
          <t>mitigant_residual_ppa</t>
        </is>
      </c>
      <c r="B106" s="68" t="inlineStr">
        <is>
          <t>YES</t>
        </is>
      </c>
      <c r="C106" s="68" t="inlineStr">
        <is>
          <t>YES</t>
        </is>
      </c>
      <c r="D106" s="68" t="inlineStr">
        <is>
          <t>NO</t>
        </is>
      </c>
      <c r="E106" s="68" t="inlineStr">
        <is>
          <t>YES</t>
        </is>
      </c>
      <c r="F106" s="68" t="inlineStr">
        <is>
          <t>NO</t>
        </is>
      </c>
      <c r="G106" s="68" t="inlineStr">
        <is>
          <t>NO</t>
        </is>
      </c>
      <c r="H106" s="68" t="inlineStr">
        <is>
          <t>YES</t>
        </is>
      </c>
      <c r="I106" s="68" t="inlineStr">
        <is>
          <t>YES</t>
        </is>
      </c>
    </row>
    <row r="107">
      <c r="A107" s="85" t="inlineStr">
        <is>
          <t xml:space="preserve">  ^ TP-5 is a PARTIAL bullet with NO mitigant (-1 notch) and TP-6 a LARGE bullet WITH a mitigant (-1 notch). These are the two rows MAJ-11 added to CORE Section 7.2 in v2.0 and that no reference project exercised (QA finding M15). Note TP-5 mitigant 3 is NOT_APPLICABLE_FIXED_RATE, which counts as PRESENT — so TP-5 reaches -1 notch on the "present" row, not the "absent" row. Corrected below.</t>
        </is>
      </c>
    </row>
    <row r="108">
      <c r="A108" s="68" t="inlineStr">
        <is>
          <t>project_state</t>
        </is>
      </c>
      <c r="B108" s="68" t="inlineStr">
        <is>
          <t>STATE_OPERATING_MATURE</t>
        </is>
      </c>
      <c r="C108" s="68" t="inlineStr">
        <is>
          <t>STATE_OPERATING_MATURE</t>
        </is>
      </c>
      <c r="D108" s="68" t="inlineStr">
        <is>
          <t>STATE_PRECOD</t>
        </is>
      </c>
      <c r="E108" s="68" t="inlineStr">
        <is>
          <t>STATE_OPERATING_MATURE</t>
        </is>
      </c>
      <c r="F108" s="68" t="inlineStr">
        <is>
          <t>STATE_PRECOD</t>
        </is>
      </c>
      <c r="G108" s="68" t="inlineStr">
        <is>
          <t>STATE_OPERATING_RAMPUP</t>
        </is>
      </c>
      <c r="H108" s="68" t="inlineStr">
        <is>
          <t>STATE_OPERATING_MATURE</t>
        </is>
      </c>
      <c r="I108" s="68" t="inlineStr">
        <is>
          <t>STATE_OPERATING_MATURE</t>
        </is>
      </c>
    </row>
    <row r="109">
      <c r="A109" s="68" t="inlineStr">
        <is>
          <t>epc_structure</t>
        </is>
      </c>
      <c r="B109" s="68" t="inlineStr">
        <is>
          <t>EPC_NOT_APPLICABLE</t>
        </is>
      </c>
      <c r="C109" s="68" t="inlineStr">
        <is>
          <t>EPC_NOT_APPLICABLE</t>
        </is>
      </c>
      <c r="D109" s="68" t="inlineStr">
        <is>
          <t>EPC_MULTI</t>
        </is>
      </c>
      <c r="E109" s="68" t="inlineStr">
        <is>
          <t>EPC_NOT_APPLICABLE</t>
        </is>
      </c>
      <c r="F109" s="68" t="inlineStr">
        <is>
          <t>EPC_TURNKEY</t>
        </is>
      </c>
      <c r="G109" s="68" t="inlineStr">
        <is>
          <t>EPC_NOT_APPLICABLE</t>
        </is>
      </c>
      <c r="H109" s="68" t="inlineStr">
        <is>
          <t>EPC_NOT_APPLICABLE</t>
        </is>
      </c>
      <c r="I109" s="68" t="inlineStr">
        <is>
          <t>EPC_NOT_APPLICABLE</t>
        </is>
      </c>
    </row>
    <row r="110">
      <c r="A110" s="68" t="inlineStr">
        <is>
          <t>contractor_standing</t>
        </is>
      </c>
      <c r="B110" s="68" t="inlineStr">
        <is>
          <t>CONTR_NOT_APPLICABLE</t>
        </is>
      </c>
      <c r="C110" s="68" t="inlineStr">
        <is>
          <t>CONTR_NOT_APPLICABLE</t>
        </is>
      </c>
      <c r="D110" s="68" t="inlineStr">
        <is>
          <t>CONTR_WEAK</t>
        </is>
      </c>
      <c r="E110" s="68" t="inlineStr">
        <is>
          <t>CONTR_NOT_APPLICABLE</t>
        </is>
      </c>
      <c r="F110" s="68" t="inlineStr">
        <is>
          <t>CONTR_ADEQUATE</t>
        </is>
      </c>
      <c r="G110" s="68" t="inlineStr">
        <is>
          <t>CONTR_NOT_APPLICABLE</t>
        </is>
      </c>
      <c r="H110" s="68" t="inlineStr">
        <is>
          <t>CONTR_NOT_APPLICABLE</t>
        </is>
      </c>
      <c r="I110" s="68" t="inlineStr">
        <is>
          <t>CONTR_NOT_APPLICABLE</t>
        </is>
      </c>
    </row>
    <row r="111">
      <c r="A111" s="68" t="inlineStr">
        <is>
          <t>contingency_share</t>
        </is>
      </c>
      <c r="D111" s="68" t="n">
        <v>0.03</v>
      </c>
      <c r="F111" s="68" t="n">
        <v>0.07000000000000001</v>
      </c>
    </row>
    <row r="112">
      <c r="A112" s="68" t="inlineStr">
        <is>
          <t>execution_complexity</t>
        </is>
      </c>
      <c r="B112" s="68" t="inlineStr">
        <is>
          <t>EXEC_NOT_APPLICABLE</t>
        </is>
      </c>
      <c r="C112" s="68" t="inlineStr">
        <is>
          <t>EXEC_NOT_APPLICABLE</t>
        </is>
      </c>
      <c r="D112" s="68" t="inlineStr">
        <is>
          <t>EXEC_ELEVATED</t>
        </is>
      </c>
      <c r="E112" s="68" t="inlineStr">
        <is>
          <t>EXEC_NOT_APPLICABLE</t>
        </is>
      </c>
      <c r="F112" s="68" t="inlineStr">
        <is>
          <t>EXEC_STANDARD</t>
        </is>
      </c>
      <c r="G112" s="68" t="inlineStr">
        <is>
          <t>EXEC_NOT_APPLICABLE</t>
        </is>
      </c>
      <c r="H112" s="68" t="inlineStr">
        <is>
          <t>EXEC_NOT_APPLICABLE</t>
        </is>
      </c>
      <c r="I112" s="68" t="inlineStr">
        <is>
          <t>EXEC_NOT_APPLICABLE</t>
        </is>
      </c>
    </row>
    <row r="113">
      <c r="A113" s="85" t="inlineStr">
        <is>
          <t xml:space="preserve">  ^ TP-5 satisfies all four Section 7.3 row-3 conditions (turnkey, adequate contractor, contingency 0.0700, standard complexity) and takes -1 notch. TP-6 exercises STATE_OPERATING_RAMPUP, the state MAJ-12 added in v2.0 and that no v2.0 reference project used (QA finding M15).</t>
        </is>
      </c>
    </row>
  </sheetData>
  <sheetProtection selectLockedCells="0" selectUnlockedCells="0" sheet="1" objects="0" insertRows="1" insertHyperlinks="1" autoFilter="0" scenarios="0" formatColumns="0" deleteColumns="1" insertColumns="1" pivotTables="1" deleteRows="1" formatCells="0" formatRows="0" sort="0"/>
  <pageMargins left="0.75" right="0.75" top="1" bottom="1" header="0.5" footer="0.5"/>
</worksheet>
</file>

<file path=xl/worksheets/sheet4.xml><?xml version="1.0" encoding="utf-8"?>
<worksheet xmlns="http://schemas.openxmlformats.org/spreadsheetml/2006/main">
  <sheetPr filterMode="0">
    <tabColor rgb="FFA9A9A9"/>
    <outlinePr summaryBelow="1" summaryRight="1"/>
    <pageSetUpPr fitToPage="0"/>
  </sheetPr>
  <dimension ref="A1:C40"/>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62" customWidth="1" style="68" min="1" max="1"/>
    <col width="18" customWidth="1" style="68" min="2" max="2"/>
    <col width="44" customWidth="1" style="68" min="3" max="3"/>
  </cols>
  <sheetData>
    <row r="1" ht="19.5" customHeight="1" s="69">
      <c r="A1" s="111" t="inlineStr">
        <is>
          <t>SAMPLE — REFERENCE ONLY (DO NOT EDIT)</t>
        </is>
      </c>
    </row>
    <row r="2" ht="15" customHeight="1" s="69">
      <c r="A2" s="112" t="inlineStr">
        <is>
          <t>Illustrative operating solar SPV. Every figure below is reproducible from the inputs on this sheet — the arithmetic is shown in column C so the sheet can serve as a validation baseline. Values are illustrative and are not a real project.</t>
        </is>
      </c>
    </row>
    <row r="3" ht="54" customHeight="1" s="69">
      <c r="A3" s="85" t="inlineStr">
        <is>
          <t>Version 3.0 — 30 July 2026. Illustrative figures for BLOCKS B AND C ONLY; Blocks A and D and the notching inputs are on Key Input Template 1. ALL PERCENTAGES AND RATES ARE DECIMAL FRACTIONS (CORE Section 9.6): 0.2600 for 26%, 0.0925 for 9.25%. Every derived figure on this sheet recomputes from the inputs shown — PLCR 2.0500, LLCR 1.4071, CFO/Adjusted Debt 0.1524, gearing 2.3333 (Adequate).</t>
        </is>
      </c>
    </row>
    <row r="4" ht="15" customHeight="1" s="69"/>
    <row r="5" ht="15" customHeight="1" s="69">
      <c r="A5" s="113" t="inlineStr">
        <is>
          <t>Project parameters</t>
        </is>
      </c>
    </row>
    <row r="6" ht="15" customHeight="1" s="69">
      <c r="A6" s="114" t="inlineStr">
        <is>
          <t>Currency / unit</t>
        </is>
      </c>
      <c r="B6" s="130" t="inlineStr">
        <is>
          <t>INR Lakh</t>
        </is>
      </c>
    </row>
    <row r="7" ht="15" customHeight="1" s="69">
      <c r="A7" s="114" t="inlineStr">
        <is>
          <t>Technology type</t>
        </is>
      </c>
      <c r="B7" s="130" t="inlineStr">
        <is>
          <t>Solar PV</t>
        </is>
      </c>
      <c r="C7" s="129" t="inlineStr">
        <is>
          <t>Selects Set S at CORE Section 4.0</t>
        </is>
      </c>
    </row>
    <row r="8" ht="15" customHeight="1" s="69">
      <c r="A8" s="114" t="inlineStr">
        <is>
          <t>Merchant exposure (% of revenue)</t>
        </is>
      </c>
      <c r="B8" s="140" t="n">
        <v>0</v>
      </c>
      <c r="C8" s="129" t="inlineStr">
        <is>
          <t>No merchant adjustment (threshold is 25%)</t>
        </is>
      </c>
    </row>
    <row r="9" ht="15" customHeight="1" s="69">
      <c r="A9" s="114" t="inlineStr">
        <is>
          <t>P90 annual PLF / generation estimate</t>
        </is>
      </c>
      <c r="B9" s="140" t="n">
        <v>0.26</v>
      </c>
    </row>
    <row r="10" ht="15" customHeight="1" s="69">
      <c r="A10" s="114" t="inlineStr">
        <is>
          <t>CFADS basis</t>
        </is>
      </c>
      <c r="B10" s="130" t="inlineStr">
        <is>
          <t>Attested as P90</t>
        </is>
      </c>
      <c r="C10" s="129" t="inlineStr">
        <is>
          <t>CORE Section 9.5 satisfied</t>
        </is>
      </c>
    </row>
    <row r="11" ht="15" customHeight="1" s="69"/>
    <row r="12" ht="15" customHeight="1" s="69">
      <c r="A12" s="113" t="inlineStr">
        <is>
          <t>Cash-flow adequacy — Block B</t>
        </is>
      </c>
    </row>
    <row r="13" ht="15" customHeight="1" s="69">
      <c r="A13" s="114" t="inlineStr">
        <is>
          <t>Minimum DSCR (P90 basis)</t>
        </is>
      </c>
      <c r="B13" s="141" t="n">
        <v>1.32</v>
      </c>
      <c r="C13" s="129" t="inlineStr">
        <is>
          <t>Lowest annual DSCR across the schedule</t>
        </is>
      </c>
    </row>
    <row r="14" ht="15" customHeight="1" s="69">
      <c r="A14" s="114" t="inlineStr">
        <is>
          <t>Average DSCR (P90 basis)</t>
        </is>
      </c>
      <c r="B14" s="141" t="n">
        <v>1.55</v>
      </c>
      <c r="C14" s="129" t="inlineStr">
        <is>
          <t>Arithmetic mean of annual DSCRs (CORE Section 4.2)</t>
        </is>
      </c>
    </row>
    <row r="15" ht="15" customHeight="1" s="69">
      <c r="A15" s="114" t="inlineStr">
        <is>
          <t>NPV of CFADS — remaining project life</t>
        </is>
      </c>
      <c r="B15" s="142" t="n">
        <v>42000</v>
      </c>
    </row>
    <row r="16" ht="15" customHeight="1" s="69">
      <c r="A16" s="114" t="inlineStr">
        <is>
          <t>NPV of CFADS — remaining loan life</t>
        </is>
      </c>
      <c r="B16" s="142" t="n">
        <v>28500</v>
      </c>
    </row>
    <row r="17" ht="15" customHeight="1" s="69">
      <c r="A17" s="114" t="inlineStr">
        <is>
          <t>Unencumbered DSRA + other unencumbered cash</t>
        </is>
      </c>
      <c r="B17" s="142" t="n">
        <v>1050</v>
      </c>
      <c r="C17" s="129" t="inlineStr">
        <is>
          <t>From the Financial block below</t>
        </is>
      </c>
    </row>
    <row r="18" ht="15" customHeight="1" s="69">
      <c r="A18" s="114" t="inlineStr">
        <is>
          <t>Principal outstanding — rated debt + pari passu/senior</t>
        </is>
      </c>
      <c r="B18" s="142" t="n">
        <v>21000</v>
      </c>
    </row>
    <row r="19" ht="15" customHeight="1" s="69">
      <c r="A19" s="114" t="inlineStr">
        <is>
          <t>PLCR</t>
        </is>
      </c>
      <c r="B19" s="119">
        <f>(B15+B17)/B18</f>
        <v/>
      </c>
      <c r="C19" s="129" t="inlineStr">
        <is>
          <t>Computed as (42,000 + 1,050) / 21,000 = 2.0500</t>
        </is>
      </c>
    </row>
    <row r="20" ht="15" customHeight="1" s="69">
      <c r="A20" s="114" t="inlineStr">
        <is>
          <t>LLCR</t>
        </is>
      </c>
      <c r="B20" s="119">
        <f>(B16+B17)/B18</f>
        <v/>
      </c>
      <c r="C20" s="129" t="inlineStr">
        <is>
          <t>Computed as (28,500 + 1,050) / 21,000 = 1.4071</t>
        </is>
      </c>
    </row>
    <row r="21" ht="15" customHeight="1" s="69"/>
    <row r="22" ht="15" customHeight="1" s="69">
      <c r="A22" s="114" t="inlineStr">
        <is>
          <t>Block B indicative points</t>
        </is>
      </c>
      <c r="B22" s="127">
        <f>11+6+6+3</f>
        <v/>
      </c>
      <c r="C22" s="129" t="inlineStr">
        <is>
          <t>Set S: Min DSCR 1.3200 &gt;= 1.2500 Strong (11); Avg 1.5500 &gt;= 1.4200 Strong (6); PLCR 2.0500 &gt;= 2.0000 Full (6); LLCR 1.4071 &gt;= 1.2000 Adequate (3). Block B = 26.0 of 35.</t>
        </is>
      </c>
    </row>
    <row r="23" ht="15" customHeight="1" s="69"/>
    <row r="24" ht="15" customHeight="1" s="69">
      <c r="A24" s="113" t="inlineStr">
        <is>
          <t>Financial strength — Block C</t>
        </is>
      </c>
    </row>
    <row r="25" ht="15" customHeight="1" s="69">
      <c r="A25" s="114" t="inlineStr">
        <is>
          <t>Project CFO</t>
        </is>
      </c>
      <c r="B25" s="142" t="n">
        <v>3200</v>
      </c>
    </row>
    <row r="26" ht="15" customHeight="1" s="69">
      <c r="A26" s="114" t="inlineStr">
        <is>
          <t>Total Debt (= Adjusted Debt)</t>
        </is>
      </c>
      <c r="B26" s="142" t="n">
        <v>21000</v>
      </c>
      <c r="C26" s="129" t="inlineStr">
        <is>
          <t>All instruments classified Debt</t>
        </is>
      </c>
    </row>
    <row r="27" ht="15" customHeight="1" s="69">
      <c r="A27" s="114" t="inlineStr">
        <is>
          <t>Project CFO / Adjusted Debt</t>
        </is>
      </c>
      <c r="B27" s="124">
        <f>B25/B26</f>
        <v/>
      </c>
      <c r="C27" s="129" t="inlineStr">
        <is>
          <t>Computed as 3,200 / 21,000 = 15.24%</t>
        </is>
      </c>
    </row>
    <row r="28" ht="15" customHeight="1" s="69">
      <c r="A28" s="114" t="inlineStr">
        <is>
          <t>Tangible net worth</t>
        </is>
      </c>
      <c r="B28" s="142" t="n">
        <v>9000</v>
      </c>
    </row>
    <row r="29" ht="15" customHeight="1" s="69">
      <c r="A29" s="114" t="inlineStr">
        <is>
          <t>Gearing — Total Debt / TNW</t>
        </is>
      </c>
      <c r="B29" s="119">
        <f>B26/B28</f>
        <v/>
      </c>
      <c r="C29" s="129" t="inlineStr">
        <is>
          <t>Computed as 21,000 / 9,000 = 2.3333</t>
        </is>
      </c>
    </row>
    <row r="30" ht="15" customHeight="1" s="69">
      <c r="A30" s="114" t="inlineStr">
        <is>
          <t>Total DSRA balance</t>
        </is>
      </c>
      <c r="B30" s="142" t="n">
        <v>1050</v>
      </c>
    </row>
    <row r="31" ht="15" customHeight="1" s="69">
      <c r="A31" s="114" t="inlineStr">
        <is>
          <t>Of which encumbered</t>
        </is>
      </c>
      <c r="B31" s="142" t="n">
        <v>0</v>
      </c>
    </row>
    <row r="32" ht="15" customHeight="1" s="69">
      <c r="A32" s="114" t="inlineStr">
        <is>
          <t>Unencumbered DSRA</t>
        </is>
      </c>
      <c r="B32" s="122">
        <f>B30-B31</f>
        <v/>
      </c>
      <c r="C32" s="129" t="inlineStr">
        <is>
          <t>Computed as 1,050 less 0 encumbered</t>
        </is>
      </c>
    </row>
    <row r="33" ht="15" customHeight="1" s="69">
      <c r="A33" s="114" t="inlineStr">
        <is>
          <t>Average monthly debt service</t>
        </is>
      </c>
      <c r="B33" s="142" t="n">
        <v>175</v>
      </c>
    </row>
    <row r="34" ht="15" customHeight="1" s="69">
      <c r="A34" s="114" t="inlineStr">
        <is>
          <t>DSRA months of cover</t>
        </is>
      </c>
      <c r="B34" s="127">
        <f>B32/B33</f>
        <v/>
      </c>
      <c r="C34" s="129" t="inlineStr">
        <is>
          <t>Computed as 1,050 / 175 = 6.0 months</t>
        </is>
      </c>
    </row>
    <row r="35" ht="15" customHeight="1" s="69">
      <c r="A35" s="114" t="inlineStr">
        <is>
          <t>Liquidity classification</t>
        </is>
      </c>
      <c r="B35" s="118">
        <f>IF(B34&gt;=12,"Superior",IF(B34&gt;=9,"Strong",IF(B34&gt;=6,"Adequate",IF(B34&gt;=3,"Stretched","Poor"))))</f>
        <v/>
      </c>
      <c r="C35" s="129" t="inlineStr">
        <is>
          <t>6.0 &gt;= 6 → Adequate (CORE Section 5.3)</t>
        </is>
      </c>
    </row>
    <row r="37" ht="32.25" customHeight="1" s="69">
      <c r="A37" s="114" t="inlineStr">
        <is>
          <t>Block C indicative points</t>
        </is>
      </c>
      <c r="B37" s="127">
        <f>7.5+4+4</f>
        <v/>
      </c>
      <c r="C37" s="129" t="inlineStr">
        <is>
          <t>CFO/Debt 15.24% &gt;= 15.00% Strong (7.5); Gearing 2.3333 &gt; 2.3330 so Adequate (4); Liquidity 6.0 months &gt;= 6.0 Adequate (4). Block C = 15.5 of 25.</t>
        </is>
      </c>
    </row>
    <row r="39" ht="15" customHeight="1" s="69">
      <c r="A39" s="113" t="inlineStr">
        <is>
          <t>Boundary note</t>
        </is>
      </c>
    </row>
    <row r="40" ht="42" customHeight="1" s="69">
      <c r="A40" s="129" t="inlineStr">
        <is>
          <t>Gearing of 2.3333 illustrates the precision rule at CORE Section 9.6 exactly: evaluated to four decimal places, 2.3333 exceeds the Strong threshold of 2.3330 and therefore falls to Adequate. Under v1.0, which stated the Strong tier as "1.858 – 2.333", this value sat in the gap between two closed ranges and belonged to no tier at all.</t>
        </is>
      </c>
    </row>
  </sheetData>
  <sheetProtection selectLockedCells="0" selectUnlockedCells="0" sheet="1" objects="0" insertRows="1" insertHyperlinks="1" autoFilter="0" scenarios="0" formatColumns="0" deleteColumns="1" insertColumns="1" pivotTables="1" deleteRows="1" formatCells="0" formatRows="0" sort="0"/>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2026-07-29T10:19:30Z</dcterms:created>
  <dcterms:modified xmlns:dcterms="http://purl.org/dc/terms/" xmlns:xsi="http://www.w3.org/2001/XMLSchema-instance" xsi:type="dcterms:W3CDTF">2026-07-30T14:00:07Z</dcterms:modified>
  <cp:revision>0</cp:revision>
</cp:coreProperties>
</file>